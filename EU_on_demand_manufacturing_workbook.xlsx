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mpetitor Matrix" sheetId="2" state="visible" r:id="rId4"/>
    <sheet name="Pricing Benchmark" sheetId="3" state="visible" r:id="rId5"/>
    <sheet name="Model A FDM Farm" sheetId="4" state="visible" r:id="rId6"/>
    <sheet name="Model B MJF Cell" sheetId="5" state="visible" r:id="rId7"/>
    <sheet name="Scenario Compar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<sst xmlns="http://schemas.openxmlformats.org/spreadsheetml/2006/main" count="739" uniqueCount="585">
  <si>
    <t xml:space="preserve">European on-demand digital manufacturing: audit workbook</t>
  </si>
  <si>
    <t xml:space="preserve">Prepared 14 July 2026. Companion to the Word report. All currency EUR unless noted.</t>
  </si>
  <si>
    <t xml:space="preserve">Tabs</t>
  </si>
  <si>
    <t xml:space="preserve">Competitor Matrix</t>
  </si>
  <si>
    <t xml:space="preserve">Profiles of 27 players: EU asset-heavy, marketplaces, aggregator, Chinese price floor, Polish bureaus, US benchmark.</t>
  </si>
  <si>
    <t xml:space="preserve">Pricing Benchmark</t>
  </si>
  <si>
    <t xml:space="preserve">Quoted / triangulated prices for 3 reference parts across 10+ providers. Ranges are estimates unless marked FACT.</t>
  </si>
  <si>
    <t xml:space="preserve">Model A FDM Farm</t>
  </si>
  <si>
    <t xml:space="preserve">CAPEX and unit economics for a 20-30 unit industrial FDM farm in Poland. Editable.</t>
  </si>
  <si>
    <t xml:space="preserve">Model B MJF Cell</t>
  </si>
  <si>
    <t xml:space="preserve">CAPEX and unit economics for a single HP MJF 5600-class cell. Editable.</t>
  </si>
  <si>
    <t xml:space="preserve">Scenario Compare</t>
  </si>
  <si>
    <t xml:space="preserve">Side-by-side of the two entry scenarios.</t>
  </si>
  <si>
    <t xml:space="preserve">How to use the models</t>
  </si>
  <si>
    <t xml:space="preserve">Editable cells</t>
  </si>
  <si>
    <t xml:space="preserve">Blue text on yellow fill = assumption you can change. Everything else is a formula and recalculates.</t>
  </si>
  <si>
    <t xml:space="preserve">Example edit</t>
  </si>
  <si>
    <t xml:space="preserve">On 'Model A FDM Farm', set B5 (machine count) to 30 and B16 (price per machine-hour) to 5.00 to see a higher-price case.</t>
  </si>
  <si>
    <t xml:space="preserve">Data quality legend</t>
  </si>
  <si>
    <t xml:space="preserve">FACT</t>
  </si>
  <si>
    <t xml:space="preserve">From a primary source (filing, registry, company statement, published price page). Source noted in the row.</t>
  </si>
  <si>
    <t xml:space="preserve">ESTIMATE</t>
  </si>
  <si>
    <t xml:space="preserve">Triangulated from partial data. Reasoning noted.</t>
  </si>
  <si>
    <t xml:space="preserve">ASSUMPTION</t>
  </si>
  <si>
    <t xml:space="preserve">Modeling judgment, no direct source. Treat as a lever to test.</t>
  </si>
  <si>
    <t xml:space="preserve">[STALE]</t>
  </si>
  <si>
    <t xml:space="preserve">Data older than January 2025.</t>
  </si>
  <si>
    <t xml:space="preserve">Key caveats</t>
  </si>
  <si>
    <t xml:space="preserve">Pricing</t>
  </si>
  <si>
    <t xml:space="preserve">No live CAD uploads were made. Prices come from published rate cards, provider example quotes, and third-party same-STL benchmarks (All3DP June 2026 and July 2024). Where a provider gates quotes behind an account, that is flagged.</t>
  </si>
  <si>
    <t xml:space="preserve">Private companies</t>
  </si>
  <si>
    <t xml:space="preserve">German GmbHs use small-company exemptions; most marketplace revenues are estimates.</t>
  </si>
  <si>
    <t xml:space="preserve">Models</t>
  </si>
  <si>
    <t xml:space="preserve">Steady-state economics. Year-1 ramp factor applies fixed costs to partial revenue. Defaults are calibrated so Model A lands near Weerg's reported ~40 percent EBITDA profile.</t>
  </si>
  <si>
    <t xml:space="preserve">Company</t>
  </si>
  <si>
    <t xml:space="preserve">HQ / production</t>
  </si>
  <si>
    <t xml:space="preserve">Model</t>
  </si>
  <si>
    <t xml:space="preserve">Processes</t>
  </si>
  <si>
    <t xml:space="preserve">Instant quote</t>
  </si>
  <si>
    <t xml:space="preserve">Lead time (typical)</t>
  </si>
  <si>
    <t xml:space="preserve">Pricing position</t>
  </si>
  <si>
    <t xml:space="preserve">Revenue (latest known)</t>
  </si>
  <si>
    <t xml:space="preserve">Profitability / funding</t>
  </si>
  <si>
    <t xml:space="preserve">Confidence</t>
  </si>
  <si>
    <t xml:space="preserve">Target segment</t>
  </si>
  <si>
    <t xml:space="preserve">Certifications</t>
  </si>
  <si>
    <t xml:space="preserve">Defense exposure</t>
  </si>
  <si>
    <t xml:space="preserve">Recurring weaknesses</t>
  </si>
  <si>
    <t xml:space="preserve">Key source</t>
  </si>
  <si>
    <t xml:space="preserve">Weerg</t>
  </si>
  <si>
    <t xml:space="preserve">Scorze (Venice), IT; single 6,000 m2 plant</t>
  </si>
  <si>
    <t xml:space="preserve">In-house</t>
  </si>
  <si>
    <t xml:space="preserve">MJF (28-30x HP 5620), resin, high-temp FFF (PEEK/ULTEM), CNC, laser</t>
  </si>
  <si>
    <t xml:space="preserve">Yes, no login</t>
  </si>
  <si>
    <t xml:space="preserve">MJF &lt;2 d production + 1-2 d EU ship</t>
  </si>
  <si>
    <t xml:space="preserve">Budget-aggressive</t>
  </si>
  <si>
    <t xml:space="preserve">EUR 13.6M FY2024 filed; ~EUR 18M 2025 and EUR 25M 2026 target (company)</t>
  </si>
  <si>
    <t xml:space="preserve">EUR 1.75M net profit FY2024 (registry); ~40% EBITDA (company claim); self-funded</t>
  </si>
  <si>
    <t xml:space="preserve">High (FY24) / Medium (2025)</t>
  </si>
  <si>
    <t xml:space="preserve">SME engineers, proto to mid-series</t>
  </si>
  <si>
    <t xml:space="preserve">ISO 9001</t>
  </si>
  <si>
    <t xml:space="preserve">Low; no AS9100</t>
  </si>
  <si>
    <t xml:space="preserve">Batch quality inconsistency, tolerance misses, weak exception comms (Trusted Shops). Founder publicly intends to sell (Feb 2026)</t>
  </si>
  <si>
    <t xml:space="preserve">reportaziende.it registry FY2024; Industria Italiana 19 Feb 2026</t>
  </si>
  <si>
    <t xml:space="preserve">Protolabs (EU factories)</t>
  </si>
  <si>
    <t xml:space="preserve">Maple Plain US; EU: Telford UK, Putzbrunn DE</t>
  </si>
  <si>
    <t xml:space="preserve">CNC, injection molding, 3DP (MJF/SLA/SLS/DMLS), sheet</t>
  </si>
  <si>
    <t xml:space="preserve">Yes</t>
  </si>
  <si>
    <t xml:space="preserve">1 d express possible</t>
  </si>
  <si>
    <t xml:space="preserve">Premium</t>
  </si>
  <si>
    <t xml:space="preserve">Europe USD 100.8M FY2025, -7% constant currency; group USD 533.1M</t>
  </si>
  <si>
    <t xml:space="preserve">Group net income USD 16.6M FY2025; GAAP gross margin 44.5%</t>
  </si>
  <si>
    <t xml:space="preserve">High</t>
  </si>
  <si>
    <t xml:space="preserve">Enterprise, regulated industries</t>
  </si>
  <si>
    <t xml:space="preserve">ISO 9001, AS9100D, ISO 13485, ITAR (US only)</t>
  </si>
  <si>
    <t xml:space="preserve">High in US; ITAR does not extend to EU plants</t>
  </si>
  <si>
    <t xml:space="preserve">Expensive at quantity (3-5x cheapest in benchmarks); Europe shrinking</t>
  </si>
  <si>
    <t xml:space="preserve">PRLB 10-K FY2025; earnings release 6 Feb 2026</t>
  </si>
  <si>
    <t xml:space="preserve">Protolabs Network (ex-Hubs)</t>
  </si>
  <si>
    <t xml:space="preserve">Amsterdam NL</t>
  </si>
  <si>
    <t xml:space="preserve">Marketplace</t>
  </si>
  <si>
    <t xml:space="preserve">CNC, 3DP, sheet, IM via 250+ vetted partners</t>
  </si>
  <si>
    <t xml:space="preserve">Yes (98% instant)</t>
  </si>
  <si>
    <t xml:space="preserve">From 3 d</t>
  </si>
  <si>
    <t xml:space="preserve">Mid</t>
  </si>
  <si>
    <t xml:space="preserve">USD 116.2M FY2025, +15.7%</t>
  </si>
  <si>
    <t xml:space="preserve">Implied gross margin ~29% (triangulated); being integrated into 'one Protolabs'</t>
  </si>
  <si>
    <t xml:space="preserve">High (rev) / Medium (GM)</t>
  </si>
  <si>
    <t xml:space="preserve">Price-sensitive overflow</t>
  </si>
  <si>
    <t xml:space="preserve">Partner-level</t>
  </si>
  <si>
    <t xml:space="preserve">Low in EU</t>
  </si>
  <si>
    <t xml:space="preserve">Order consistency varies by partner</t>
  </si>
  <si>
    <t xml:space="preserve">PRLB Q4 FY2025 release, 6 Feb 2026</t>
  </si>
  <si>
    <t xml:space="preserve">MABS 3D</t>
  </si>
  <si>
    <t xml:space="preserve">Brescia, IT</t>
  </si>
  <si>
    <t xml:space="preserve">In-house (micro)</t>
  </si>
  <si>
    <t xml:space="preserve">FDM, SLS, resin/DLP, 3D scanning</t>
  </si>
  <si>
    <t xml:space="preserve">Same-day quotes</t>
  </si>
  <si>
    <t xml:space="preserve">Budget local</t>
  </si>
  <si>
    <t xml:space="preserve">Not filed (sole proprietorship); &lt;EUR 0.5M assumed</t>
  </si>
  <si>
    <t xml:space="preserve">Unknown</t>
  </si>
  <si>
    <t xml:space="preserve">Low</t>
  </si>
  <si>
    <t xml:space="preserve">Local SMB, dental, modelmaking</t>
  </si>
  <si>
    <t xml:space="preserve">None listed</t>
  </si>
  <si>
    <t xml:space="preserve">None</t>
  </si>
  <si>
    <t xml:space="preserve">Micro-scale; single operator risk</t>
  </si>
  <si>
    <t xml:space="preserve">mabs3d.com; Italian registry (no accounts filed)</t>
  </si>
  <si>
    <t xml:space="preserve">Sculpteo (3D Prod group)</t>
  </si>
  <si>
    <t xml:space="preserve">Villejuif + Raon-l'Etape, FR</t>
  </si>
  <si>
    <t xml:space="preserve">SLS, MJF, resin, metal; IM via Platex</t>
  </si>
  <si>
    <t xml:space="preserve">Yes (account required)</t>
  </si>
  <si>
    <t xml:space="preserve">Express 2 d; Economy ~15 d</t>
  </si>
  <si>
    <t xml:space="preserve">Mid-premium</t>
  </si>
  <si>
    <t xml:space="preserve">Group EUR 17M combined (company, May 2026); Sculpteo alone EUR 8-10M est.</t>
  </si>
  <si>
    <t xml:space="preserve">Two ownership disruptions in 18 months (BASF exit, Forward AM insolvency, sale to 3D Prod 7 May 2026)</t>
  </si>
  <si>
    <t xml:space="preserve">Medium</t>
  </si>
  <si>
    <t xml:space="preserve">EU industrial + designers</t>
  </si>
  <si>
    <t xml:space="preserve">Post-merger integration risk; US presence diminished</t>
  </si>
  <si>
    <t xml:space="preserve">3D Prod / Sculpteo release 7 May 2026</t>
  </si>
  <si>
    <t xml:space="preserve">i.materialise (Materialise)</t>
  </si>
  <si>
    <t xml:space="preserve">Leuven, BE</t>
  </si>
  <si>
    <t xml:space="preserve">In-house - CLOSED</t>
  </si>
  <si>
    <t xml:space="preserve">Was SLS/SLA/MJF/metal consumer channel</t>
  </si>
  <si>
    <t xml:space="preserve">n/a</t>
  </si>
  <si>
    <t xml:space="preserve">n/a - stopped orders 31 Oct 2025</t>
  </si>
  <si>
    <t xml:space="preserve">Materialise Manufacturing segment EUR 92.5M FY2025, -13.2%</t>
  </si>
  <si>
    <t xml:space="preserve">Segment adjusted EBITDA negative through 2025; group profit carried by Medical</t>
  </si>
  <si>
    <t xml:space="preserve">Was prosumer; now B2B via OnSite only</t>
  </si>
  <si>
    <t xml:space="preserve">ISO 9001, EN 9100, ISO 13485, EASA POA</t>
  </si>
  <si>
    <t xml:space="preserve">High (aero); &gt;500k flight parts</t>
  </si>
  <si>
    <t xml:space="preserve">Exited prosumer segment - that demand is up for grabs</t>
  </si>
  <si>
    <t xml:space="preserve">Materialise Q4 FY2025 release; Fabbaloo Oct 2025</t>
  </si>
  <si>
    <t xml:space="preserve">Shapeways (relaunched)</t>
  </si>
  <si>
    <t xml:space="preserve">Eindhoven, NL</t>
  </si>
  <si>
    <t xml:space="preserve">In-house + creator marketplace</t>
  </si>
  <si>
    <t xml:space="preserve">SLS, MJF, resin, metals, lost-wax, FDM (added 2025); 120+ materials</t>
  </si>
  <si>
    <t xml:space="preserve">Yes (account)</t>
  </si>
  <si>
    <t xml:space="preserve">Material-dependent</t>
  </si>
  <si>
    <t xml:space="preserve">Not disclosed; &lt;EUR 10M assumed (single plant, restart year)</t>
  </si>
  <si>
    <t xml:space="preserve">Chapter 7 July 2024; assets bought by Manuevo BV (original founders); Thangs acquired Dec 2024</t>
  </si>
  <si>
    <t xml:space="preserve">Prosumers, creators, SME</t>
  </si>
  <si>
    <t xml:space="preserve">None advertised post-relaunch</t>
  </si>
  <si>
    <t xml:space="preserve">Negligible</t>
  </si>
  <si>
    <t xml:space="preserve">Trust damage from 2024 bankruptcy (customers lost orders); pricing no longer published</t>
  </si>
  <si>
    <t xml:space="preserve">TCT Dec 2024; shapeways.com</t>
  </si>
  <si>
    <t xml:space="preserve">Craftcloud (All3DP)</t>
  </si>
  <si>
    <t xml:space="preserve">Munich, DE</t>
  </si>
  <si>
    <t xml:space="preserve">Aggregator (no assets)</t>
  </si>
  <si>
    <t xml:space="preserve">FDM, SLS, MJF, resin, metal, CNC via ~180-200 partners</t>
  </si>
  <si>
    <t xml:space="preserve">2-10 d + shipping, partner-dependent</t>
  </si>
  <si>
    <t xml:space="preserve">Budget (arbitrage)</t>
  </si>
  <si>
    <t xml:space="preserve">~EUR 10M turnover, ~30 staff, break-even (Oct 2024 [STALE]); ~EUR 16M 2026 run-rate if 60% growth held</t>
  </si>
  <si>
    <t xml:space="preserve">HTGF, Bayern Kapital, HZG-led growth round Oct 2024, amount undisclosed; take rate est. 15-30%</t>
  </si>
  <si>
    <t xml:space="preserve">Prosumers + SMB</t>
  </si>
  <si>
    <t xml:space="preserve">None (asset-less)</t>
  </si>
  <si>
    <t xml:space="preserve">Same part price swings +/-100% between partners within days; inter-partner quality variance; weak recourse on bad parts</t>
  </si>
  <si>
    <t xml:space="preserve">Munich Startup / HTGF 1 Oct 2024; Trustpilot ~2,800 reviews</t>
  </si>
  <si>
    <t xml:space="preserve">Xometry Europe</t>
  </si>
  <si>
    <t xml:space="preserve">CNC, sheet, 3DP (7 techs), IM (auto-quoted since 2025)</t>
  </si>
  <si>
    <t xml:space="preserve">Yes (login, EUR 30 min order)</t>
  </si>
  <si>
    <t xml:space="preserve">3DP from 2-3 d, CNC from 5 d; delivery often 5-15 business d</t>
  </si>
  <si>
    <t xml:space="preserve">International segment USD 112.9M FY2025, +27% (incl. Asia)</t>
  </si>
  <si>
    <t xml:space="preserve">International adj. EBITDA -USD 12.5M FY2025; intl gross margin 37.8%; group first positive adj-EBITDA year 2025</t>
  </si>
  <si>
    <t xml:space="preserve">Mid-market OEM engineers</t>
  </si>
  <si>
    <t xml:space="preserve">ISO 9001 (EU); CMMC L2 / AS9100D / ITAR in US network</t>
  </si>
  <si>
    <t xml:space="preserve">US: courts defense. EU: weapons parts prohibited by default in T&amp;Cs</t>
  </si>
  <si>
    <t xml:space="preserve">Slipped express deliveries, out-of-spec parts, slow support escalation, pricey vs local shops at quantity</t>
  </si>
  <si>
    <t xml:space="preserve">XMTR 10-K FY2025; Q4 release 24 Feb 2026; xometry.eu T&amp;Cs</t>
  </si>
  <si>
    <t xml:space="preserve">Fractory</t>
  </si>
  <si>
    <t xml:space="preserve">Tallinn EE / Manchester UK</t>
  </si>
  <si>
    <t xml:space="preserve">Sheet metal, tube, CNC (no 3DP)</t>
  </si>
  <si>
    <t xml:space="preserve">Sheet instant; CNC hybrid RFQ</t>
  </si>
  <si>
    <t xml:space="preserve">Days</t>
  </si>
  <si>
    <t xml:space="preserve">USD 16.1M 2022 (CB Insights [STALE]); GMV est. EUR 25-40M 2025</t>
  </si>
  <si>
    <t xml:space="preserve">~USD 18.5M raised; SmartCap top-up Apr 2025; Series B in prep; loss-making assumed</t>
  </si>
  <si>
    <t xml:space="preserve">Low-Medium</t>
  </si>
  <si>
    <t xml:space="preserve">Machinery OEMs, structural steel</t>
  </si>
  <si>
    <t xml:space="preserve">Lists A&amp;D as served industry; no export-control infra</t>
  </si>
  <si>
    <t xml:space="preserve">No 3DP; expanded FR/IT Mar 2026</t>
  </si>
  <si>
    <t xml:space="preserve">Business Manchester 2 Mar 2026; Machinery Apr 2025</t>
  </si>
  <si>
    <t xml:space="preserve">Geomiq</t>
  </si>
  <si>
    <t xml:space="preserve">London, UK</t>
  </si>
  <si>
    <t xml:space="preserve">CNC, sheet, 3DP, IM via 300+ EU / 1,100+ global partners</t>
  </si>
  <si>
    <t xml:space="preserve">Partial instant</t>
  </si>
  <si>
    <t xml:space="preserve">USD 3.8M rev (LeadIQ May 2025, low confidence); GMV plausibly GBP 10-20M</t>
  </si>
  <si>
    <t xml:space="preserve">USD 8.5M Series A Jan 2023 [STALE]; ~USD 13.5M total; VC-dependent</t>
  </si>
  <si>
    <t xml:space="preserve">UK SMB + enterprise</t>
  </si>
  <si>
    <t xml:space="preserve">ISO 9001; partner AS9100/13485</t>
  </si>
  <si>
    <t xml:space="preserve">Some UK defense work</t>
  </si>
  <si>
    <t xml:space="preserve">QC complaints on CNC orders (Trustpilot); sales-culture churn (Glassdoor)</t>
  </si>
  <si>
    <t xml:space="preserve">geomiq.com; Companies House</t>
  </si>
  <si>
    <t xml:space="preserve">Facturee (cwmk)</t>
  </si>
  <si>
    <t xml:space="preserve">Berlin, DE</t>
  </si>
  <si>
    <t xml:space="preserve">Broker (no instant quote)</t>
  </si>
  <si>
    <t xml:space="preserve">CNC, sheet, 3DP, casting via 2,000+ partners, 15,000+ machines</t>
  </si>
  <si>
    <t xml:space="preserve">No - RFQ in hours/days</t>
  </si>
  <si>
    <t xml:space="preserve">No disclosure; low-to-mid tens EUR M GMV est.</t>
  </si>
  <si>
    <t xml:space="preserve">Largely bootstrapped; ~1/3 revenue outside DE</t>
  </si>
  <si>
    <t xml:space="preserve">German OEM procurement outsourcing</t>
  </si>
  <si>
    <t xml:space="preserve">ISO 9001 network QA</t>
  </si>
  <si>
    <t xml:space="preserve">No stated policy</t>
  </si>
  <si>
    <t xml:space="preserve">No instant quoting; relationship model, low self-serve volume</t>
  </si>
  <si>
    <t xml:space="preserve">facturee.de; werkstatt-betrieb.de</t>
  </si>
  <si>
    <t xml:space="preserve">Laserhub</t>
  </si>
  <si>
    <t xml:space="preserve">Stuttgart, DE</t>
  </si>
  <si>
    <t xml:space="preserve">Sheet metal (laser, bending, tube) + turning/milling add-on</t>
  </si>
  <si>
    <t xml:space="preserve">Budget-mid</t>
  </si>
  <si>
    <t xml:space="preserve">Projected &gt;EUR 100M for 2023 (company projection, treat skeptically); actuals unpublished</t>
  </si>
  <si>
    <t xml:space="preserve">Series B Jun 2022 undisclosed [STALE]; headcount down to ~62 (Feb 2026); Creditreform rating stress signal May 2025</t>
  </si>
  <si>
    <t xml:space="preserve">DACH sheet-metal buyers</t>
  </si>
  <si>
    <t xml:space="preserve">Not advertised</t>
  </si>
  <si>
    <t xml:space="preserve">Thin sheet-metal margins (est. 15-25% GM); retrenchment from peak</t>
  </si>
  <si>
    <t xml:space="preserve">companyhouse.de 2025; Tracxn Feb 2026</t>
  </si>
  <si>
    <t xml:space="preserve">Spanflug</t>
  </si>
  <si>
    <t xml:space="preserve">Marketplace + SaaS</t>
  </si>
  <si>
    <t xml:space="preserve">CNC turning/milling; suppliers exclusively DE/AT</t>
  </si>
  <si>
    <t xml:space="preserve">Yes (CAD + drawing)</t>
  </si>
  <si>
    <t xml:space="preserve">From 5 working days</t>
  </si>
  <si>
    <t xml:space="preserve">Premium 'Made in Germany'</t>
  </si>
  <si>
    <t xml:space="preserve">Not disclosed; 5,000+ customers, 6,000+ machines in network</t>
  </si>
  <si>
    <t xml:space="preserve">No large VC rounds found; likely lean/near break-even</t>
  </si>
  <si>
    <t xml:space="preserve">DACH quality-focused buyers</t>
  </si>
  <si>
    <t xml:space="preserve">Small scale; DE/AT-only supply limits price competitiveness</t>
  </si>
  <si>
    <t xml:space="preserve">spanflug.de</t>
  </si>
  <si>
    <t xml:space="preserve">CNC24</t>
  </si>
  <si>
    <t xml:space="preserve">Broker/RFQ</t>
  </si>
  <si>
    <t xml:space="preserve">CNC precision + serial parts, global network</t>
  </si>
  <si>
    <t xml:space="preserve">No - assisted RFQ</t>
  </si>
  <si>
    <t xml:space="preserve">Weeks</t>
  </si>
  <si>
    <t xml:space="preserve">Not disclosed; 46 employees (2025)</t>
  </si>
  <si>
    <t xml:space="preserve">EUR 8.25M Series A Aug 2022 [STALE]; no round since; runway unclear</t>
  </si>
  <si>
    <t xml:space="preserve">German Mittelstand serial CNC</t>
  </si>
  <si>
    <t xml:space="preserve">ISO 9001:2015 (recertified Nov 2025)</t>
  </si>
  <si>
    <t xml:space="preserve">Defense-adjacent marketing</t>
  </si>
  <si>
    <t xml:space="preserve">No instant quote</t>
  </si>
  <si>
    <t xml:space="preserve">EU-Startups Aug 2022; Tracxn Nov 2025</t>
  </si>
  <si>
    <t xml:space="preserve">Kreatize</t>
  </si>
  <si>
    <t xml:space="preserve">Berlin, DE + Wroclaw PL hub</t>
  </si>
  <si>
    <t xml:space="preserve">Pivoted to software</t>
  </si>
  <si>
    <t xml:space="preserve">Cloud manufacturing software/services (exited marketplace); corporate purpose now excludes own production</t>
  </si>
  <si>
    <t xml:space="preserve">No insolvency (verified via North Data, Jul 2026); ~54 employees; FY2024 accounts filed Jun 2026</t>
  </si>
  <si>
    <t xml:space="preserve">~EUR 9M+ lifetime funding (Earlybird, Atlantic Labs)</t>
  </si>
  <si>
    <t xml:space="preserve">OEM procurement software</t>
  </si>
  <si>
    <t xml:space="preserve">-</t>
  </si>
  <si>
    <t xml:space="preserve">Insolvency rumors unsubstantiated; no longer a direct competitor</t>
  </si>
  <si>
    <t xml:space="preserve">northdata.com HRB 195200 B; Creditreform Jul 2026</t>
  </si>
  <si>
    <t xml:space="preserve">MakerVerse</t>
  </si>
  <si>
    <t xml:space="preserve">Marketplace (Siemens Energy + ZEISS backed)</t>
  </si>
  <si>
    <t xml:space="preserve">Industrial AM incl. metal, CNC, sheet, IM</t>
  </si>
  <si>
    <t xml:space="preserve">Yes (AI quoting)</t>
  </si>
  <si>
    <t xml:space="preserve">Premium industrial</t>
  </si>
  <si>
    <t xml:space="preserve">Not disclosed; ~40-60 staff est.</t>
  </si>
  <si>
    <t xml:space="preserve">EUR 9.4M Series A Apr 2023 [STALE]; no round since - shareholder-funded or very lean</t>
  </si>
  <si>
    <t xml:space="preserve">Energy, heavy industry, qualified AM</t>
  </si>
  <si>
    <t xml:space="preserve">Qualified AM workflows (Siemens Energy standards)</t>
  </si>
  <si>
    <t xml:space="preserve">Energy-critical work; no explicit defense program</t>
  </si>
  <si>
    <t xml:space="preserve">Niche and small</t>
  </si>
  <si>
    <t xml:space="preserve">3D Printing Industry Apr 2023; makerverse.com</t>
  </si>
  <si>
    <t xml:space="preserve">InstaWerk</t>
  </si>
  <si>
    <t xml:space="preserve">Broker with instant quote</t>
  </si>
  <si>
    <t xml:space="preserve">CNC milling/turning</t>
  </si>
  <si>
    <t xml:space="preserve">Budget (claims -19.6% vs market)</t>
  </si>
  <si>
    <t xml:space="preserve">30,000+ parts/month (company claim); &lt;25 staff est.</t>
  </si>
  <si>
    <t xml:space="preserve">Unknown; lean</t>
  </si>
  <si>
    <t xml:space="preserve">German SMB</t>
  </si>
  <si>
    <t xml:space="preserve">Small; brokered production</t>
  </si>
  <si>
    <t xml:space="preserve">instawerk.de; Plattform Industrie 4.0</t>
  </si>
  <si>
    <t xml:space="preserve">Mipart (BAM Group)</t>
  </si>
  <si>
    <t xml:space="preserve">Weiden, DE</t>
  </si>
  <si>
    <t xml:space="preserve">In-house (40+ machines)</t>
  </si>
  <si>
    <t xml:space="preserve">CNC turning/milling, 3DP (FDM, PolyJet, MJF), sheet</t>
  </si>
  <si>
    <t xml:space="preserve">~130 employees group-wide (company claim); revenue not disclosed</t>
  </si>
  <si>
    <t xml:space="preserve">Family-owned group</t>
  </si>
  <si>
    <t xml:space="preserve">German SMB; anti-broker positioning</t>
  </si>
  <si>
    <t xml:space="preserve">ISO 9001 (group)</t>
  </si>
  <si>
    <t xml:space="preserve">Regional reach</t>
  </si>
  <si>
    <t xml:space="preserve">mipart.com/en/about-mipart</t>
  </si>
  <si>
    <t xml:space="preserve">JLC3DP (JLCPCB group)</t>
  </si>
  <si>
    <t xml:space="preserve">Shenzhen, CN</t>
  </si>
  <si>
    <t xml:space="preserve">In-house mega-factory</t>
  </si>
  <si>
    <t xml:space="preserve">SLA, MJF, SLS, FDM, SLM, binder jet; CNC via JLCCNC</t>
  </si>
  <si>
    <t xml:space="preserve">Yes (account to upload)</t>
  </si>
  <si>
    <t xml:space="preserve">2-5 d production + 3-12 d ship to PL</t>
  </si>
  <si>
    <t xml:space="preserve">Price floor (parts from USD 0.30)</t>
  </si>
  <si>
    <t xml:space="preserve">jlcpcb.com store est. USD 273M 2025 (Grips web-analytics, group-level, unaudited)</t>
  </si>
  <si>
    <t xml:space="preserve">Private; no filings; assumed profitable at scale (~20k PCB orders/day group)</t>
  </si>
  <si>
    <t xml:space="preserve">Low (est.)</t>
  </si>
  <si>
    <t xml:space="preserve">Global prosumers + SMB</t>
  </si>
  <si>
    <t xml:space="preserve">None; excluded from EU defense supply chains</t>
  </si>
  <si>
    <t xml:space="preserve">Customs surprise invoices, account risk-terminations, support attrition on claims; new EUR 3/line EU duty since Jul 2026</t>
  </si>
  <si>
    <t xml:space="preserve">jlc3dp.com; Grips Intelligence; Trustpilot</t>
  </si>
  <si>
    <t xml:space="preserve">PCBWay 3DP</t>
  </si>
  <si>
    <t xml:space="preserve">In-house + network</t>
  </si>
  <si>
    <t xml:space="preserve">FDM, SLA, DLP, SLS, MJF, SLM, vacuum casting, CNC</t>
  </si>
  <si>
    <t xml:space="preserve">Instant estimate, manual confirmation</t>
  </si>
  <si>
    <t xml:space="preserve">FDM 2-4 d, resin 4-6 d, metal 7-8 d production + ship</t>
  </si>
  <si>
    <t xml:space="preserve">Very low; USD 25 min order</t>
  </si>
  <si>
    <t xml:space="preserve">Not disclosed</t>
  </si>
  <si>
    <t xml:space="preserve">Private</t>
  </si>
  <si>
    <t xml:space="preserve">Global makers</t>
  </si>
  <si>
    <t xml:space="preserve">Courier/customs fees, dispute handling; DAP mostly (buyer handles duty)</t>
  </si>
  <si>
    <t xml:space="preserve">pcbway.com FAQ; Trustpilot 243 reviews 4.1</t>
  </si>
  <si>
    <t xml:space="preserve">RapidDirect</t>
  </si>
  <si>
    <t xml:space="preserve">Hybrid (own plants + 700+ suppliers)</t>
  </si>
  <si>
    <t xml:space="preserve">CNC, 3DP, IM, sheet</t>
  </si>
  <si>
    <t xml:space="preserve">Yes + 24 h manual fallback</t>
  </si>
  <si>
    <t xml:space="preserve">3-7 d air to EU</t>
  </si>
  <si>
    <t xml:space="preserve">Claims 30-50% below Western prices</t>
  </si>
  <si>
    <t xml:space="preserve">SMB / mid-market</t>
  </si>
  <si>
    <t xml:space="preserve">ISO 9001, ISO 13485, IATF 16949</t>
  </si>
  <si>
    <t xml:space="preserve">Near-perfect 5.0 Trustpilot at 360 reviews suggests review solicitation</t>
  </si>
  <si>
    <t xml:space="preserve">rapiddirect.com</t>
  </si>
  <si>
    <t xml:space="preserve">Unionfab (UnionTech)</t>
  </si>
  <si>
    <t xml:space="preserve">Shanghai, CN</t>
  </si>
  <si>
    <t xml:space="preserve">In-house, 5 factories</t>
  </si>
  <si>
    <t xml:space="preserve">SLA (540+ machines), MJF, SLS, metal, CNC; ~727+ printers verified, world's largest fleet</t>
  </si>
  <si>
    <t xml:space="preserve">2-3 d production + 3-5 d air; DDP available</t>
  </si>
  <si>
    <t xml:space="preserve">Claims ~70% below EU/US</t>
  </si>
  <si>
    <t xml:space="preserve">UnionTech parent (claims 60% China SLA share)</t>
  </si>
  <si>
    <t xml:space="preserve">B2B industrial</t>
  </si>
  <si>
    <t xml:space="preserve">ISO 9001 (claimed)</t>
  </si>
  <si>
    <t xml:space="preserve">China-only production; IP concerns for regulated buyers</t>
  </si>
  <si>
    <t xml:space="preserve">unionfab.com; VoxelMatters fleet count</t>
  </si>
  <si>
    <t xml:space="preserve">SendCutSend (US benchmark)</t>
  </si>
  <si>
    <t xml:space="preserve">Reno NV, US</t>
  </si>
  <si>
    <t xml:space="preserve">Sheet laser, bending, tapping, finishing, CNC; exploring polymer 3DP</t>
  </si>
  <si>
    <t xml:space="preserve">Yes; published per-material prices</t>
  </si>
  <si>
    <t xml:space="preserve">Ships 1-4 business days</t>
  </si>
  <si>
    <t xml:space="preserve">Budget-transparent; ~USD 29 min; free US shipping</t>
  </si>
  <si>
    <t xml:space="preserve">Crossed USD 100M Oct 2025; 410 employees</t>
  </si>
  <si>
    <t xml:space="preserve">USD 110M round May 2026 at ~USD 1.01B valuation (Sequoia, Paradigm); USD 1B commitment to new US factories</t>
  </si>
  <si>
    <t xml:space="preserve">US engineers + makers</t>
  </si>
  <si>
    <t xml:space="preserve">None advertised</t>
  </si>
  <si>
    <t xml:space="preserve">Dual-use adjacent (drones, robotics)</t>
  </si>
  <si>
    <t xml:space="preserve">US + Canada only; no EU plans - the playbook is unoccupied in Europe</t>
  </si>
  <si>
    <t xml:space="preserve">NNBW 28 Jan 2026; TBPN 19 May 2026</t>
  </si>
  <si>
    <t xml:space="preserve">Technology Applied</t>
  </si>
  <si>
    <t xml:space="preserve">Bialystok, PL</t>
  </si>
  <si>
    <t xml:space="preserve">SLS (4x EOS), MJF (HP 5210), FDM, DLP</t>
  </si>
  <si>
    <t xml:space="preserve">No - RFQ</t>
  </si>
  <si>
    <t xml:space="preserve">~180,000 parts printed 2023; +46% growth 2023 [STALE]; est. low tens of PLN M</t>
  </si>
  <si>
    <t xml:space="preserve">Private; largest Polish AM contract manufacturer; 50k drone-part order cited</t>
  </si>
  <si>
    <t xml:space="preserve">PL industry incl. drone makers</t>
  </si>
  <si>
    <t xml:space="preserve">ISO 9001 (verify)</t>
  </si>
  <si>
    <t xml:space="preserve">Growing (drones)</t>
  </si>
  <si>
    <t xml:space="preserve">No instant quote - manual RFQ</t>
  </si>
  <si>
    <t xml:space="preserve">centrumdruku3d.pl [STALE]</t>
  </si>
  <si>
    <t xml:space="preserve">Cubic Inch</t>
  </si>
  <si>
    <t xml:space="preserve">PL</t>
  </si>
  <si>
    <t xml:space="preserve">Industrial 3DP short-run production</t>
  </si>
  <si>
    <t xml:space="preserve">5 working days std; 3 d at +30%</t>
  </si>
  <si>
    <t xml:space="preserve">Mid; min order PLN 600 net</t>
  </si>
  <si>
    <t xml:space="preserve">Not disclosed; SME (&lt;30 staff est.)</t>
  </si>
  <si>
    <t xml:space="preserve">PL SMB</t>
  </si>
  <si>
    <t xml:space="preserve">cubicinch.pl</t>
  </si>
  <si>
    <t xml:space="preserve">3DGence services arm</t>
  </si>
  <si>
    <t xml:space="preserve">OEM side-business</t>
  </si>
  <si>
    <t xml:space="preserve">FDM, SLS, SLA, DMLS, PolyJet</t>
  </si>
  <si>
    <t xml:space="preserve">Online quoting funnel</t>
  </si>
  <si>
    <t xml:space="preserve">Side business of printer OEM</t>
  </si>
  <si>
    <t xml:space="preserve">Not a core business</t>
  </si>
  <si>
    <t xml:space="preserve">3dgence.com</t>
  </si>
  <si>
    <t xml:space="preserve">Pricing benchmark: 3 reference parts, July 2026</t>
  </si>
  <si>
    <t xml:space="preserve">Part A: PA12 bracket 50x40x30 mm, ~20 cm3 / 25 g, MJF or SLS. Part B: ABS/ASA enclosure 120x80x40 mm, ~75 g, FDM. Part C: 6061/6082 aluminum flange D80x15 mm, CNC.</t>
  </si>
  <si>
    <t xml:space="preserve">No live CAD uploads were possible; figures are published prices, provider example quotes and third-party same-STL benchmarks, triangulated. Ranges = ESTIMATE. Chinese prices exclude EUR 10-25 shipping and EU import charges.</t>
  </si>
  <si>
    <t xml:space="preserve">Provider</t>
  </si>
  <si>
    <t xml:space="preserve">Region</t>
  </si>
  <si>
    <t xml:space="preserve">Part A qty 1</t>
  </si>
  <si>
    <t xml:space="preserve">Part A qty 10 (ea)</t>
  </si>
  <si>
    <t xml:space="preserve">Part B qty 1</t>
  </si>
  <si>
    <t xml:space="preserve">Part C qty 1</t>
  </si>
  <si>
    <t xml:space="preserve">Part C qty 10 (ea)</t>
  </si>
  <si>
    <t xml:space="preserve">Ccy</t>
  </si>
  <si>
    <t xml:space="preserve">Min order</t>
  </si>
  <si>
    <t xml:space="preserve">Std lead (production)</t>
  </si>
  <si>
    <t xml:space="preserve">Quote access</t>
  </si>
  <si>
    <t xml:space="preserve">Basis</t>
  </si>
  <si>
    <t xml:space="preserve">Key anchor / source</t>
  </si>
  <si>
    <t xml:space="preserve">JLC3DP / JLCCNC</t>
  </si>
  <si>
    <t xml:space="preserve">CN</t>
  </si>
  <si>
    <t xml:space="preserve">4-8</t>
  </si>
  <si>
    <t xml:space="preserve">3-6</t>
  </si>
  <si>
    <t xml:space="preserve">5-10</t>
  </si>
  <si>
    <t xml:space="preserve">18-35</t>
  </si>
  <si>
    <t xml:space="preserve">8-14</t>
  </si>
  <si>
    <t xml:space="preserve">USD</t>
  </si>
  <si>
    <t xml:space="preserve">None stated</t>
  </si>
  <si>
    <t xml:space="preserve">MJF 72 h; CNC days</t>
  </si>
  <si>
    <t xml:space="preserve">Instant; account needed to upload</t>
  </si>
  <si>
    <t xml:space="preserve">PA12-HP 'from $1.00'; ABS 'from $3.00' (jlc3dp.com help, 2025-26); + EUR 3/line EU duty since Jul 2026</t>
  </si>
  <si>
    <t xml:space="preserve">PCBWay</t>
  </si>
  <si>
    <t xml:space="preserve">25 (min-order floor)</t>
  </si>
  <si>
    <t xml:space="preserve">4-7</t>
  </si>
  <si>
    <t xml:space="preserve">25 (min floor)</t>
  </si>
  <si>
    <t xml:space="preserve">25-45</t>
  </si>
  <si>
    <t xml:space="preserve">8-15</t>
  </si>
  <si>
    <t xml:space="preserve">USD 25 (FACT)</t>
  </si>
  <si>
    <t xml:space="preserve">FDM 2-4 d, resin 4-6 d</t>
  </si>
  <si>
    <t xml:space="preserve">Instant estimate, manual review before final</t>
  </si>
  <si>
    <t xml:space="preserve">FACT floor + EST</t>
  </si>
  <si>
    <t xml:space="preserve">pcbway.com FAQ (min order, setup fees USD 5-20)</t>
  </si>
  <si>
    <t xml:space="preserve">12-22</t>
  </si>
  <si>
    <t xml:space="preserve">5-9</t>
  </si>
  <si>
    <t xml:space="preserve">15-30</t>
  </si>
  <si>
    <t xml:space="preserve">30-60</t>
  </si>
  <si>
    <t xml:space="preserve">10-18</t>
  </si>
  <si>
    <t xml:space="preserve">No MOQ</t>
  </si>
  <si>
    <t xml:space="preserve">3-5 d ship for protos</t>
  </si>
  <si>
    <t xml:space="preserve">Instant + 24 h manual fallback; account</t>
  </si>
  <si>
    <t xml:space="preserve">rapiddirect.com; own guide cites USD 30-500 SLS/MJF band</t>
  </si>
  <si>
    <t xml:space="preserve">Craftcloud</t>
  </si>
  <si>
    <t xml:space="preserve">12-25 + ship</t>
  </si>
  <si>
    <t xml:space="preserve">6-12</t>
  </si>
  <si>
    <t xml:space="preserve">18-35 + ship</t>
  </si>
  <si>
    <t xml:space="preserve">50-110</t>
  </si>
  <si>
    <t xml:space="preserve">15-35</t>
  </si>
  <si>
    <t xml:space="preserve">None (FACT)</t>
  </si>
  <si>
    <t xml:space="preserve">1-4 d to 19-23 d, offer-dependent</t>
  </si>
  <si>
    <t xml:space="preserve">Instant, NO login needed; CNC often needs 2D drawing</t>
  </si>
  <si>
    <t xml:space="preserve">FACT-anchored</t>
  </si>
  <si>
    <t xml:space="preserve">All3DP benchmark Jun 2026: SLS nylon enclosure $8.81 + $14 ship; ABS gear $14.71; ASA frame $30.03</t>
  </si>
  <si>
    <t xml:space="preserve">EU</t>
  </si>
  <si>
    <t xml:space="preserve">18-28</t>
  </si>
  <si>
    <t xml:space="preserve">9-16</t>
  </si>
  <si>
    <t xml:space="preserve">25-40</t>
  </si>
  <si>
    <t xml:space="preserve">60-120</t>
  </si>
  <si>
    <t xml:space="preserve">EUR</t>
  </si>
  <si>
    <t xml:space="preserve">EUR 30 (FACT)</t>
  </si>
  <si>
    <t xml:space="preserve">MJF/SLS 3 d production</t>
  </si>
  <si>
    <t xml:space="preserve">Instant; login required</t>
  </si>
  <si>
    <t xml:space="preserve">FACT-anchored [STALE]</t>
  </si>
  <si>
    <t xml:space="preserve">Own published refs: MJF PA12 EUR 18.29 q1 / 15.96 ea @20; FDM ABS EUR 22.18 (Dec 2023 page, maintained Oct 2025)</t>
  </si>
  <si>
    <t xml:space="preserve">EU (IT)</t>
  </si>
  <si>
    <t xml:space="preserve">10-20</t>
  </si>
  <si>
    <t xml:space="preserve">40-80</t>
  </si>
  <si>
    <t xml:space="preserve">14-28</t>
  </si>
  <si>
    <t xml:space="preserve">None; free EU ship &gt;EUR 250</t>
  </si>
  <si>
    <t xml:space="preserve">MJF &lt;2 d production; EU delivery 1-2 d</t>
  </si>
  <si>
    <t xml:space="preserve">Instant, NO login</t>
  </si>
  <si>
    <t xml:space="preserve">weerg.com PA12 + shipping FAQ; positioned below Xometry on MJF</t>
  </si>
  <si>
    <t xml:space="preserve">Sculpteo</t>
  </si>
  <si>
    <t xml:space="preserve">EU (FR)</t>
  </si>
  <si>
    <t xml:space="preserve">20-35</t>
  </si>
  <si>
    <t xml:space="preserve">30-50</t>
  </si>
  <si>
    <t xml:space="preserve">n/a (no CNC)</t>
  </si>
  <si>
    <t xml:space="preserve">Economy tier only when unit &gt;= EUR 10</t>
  </si>
  <si>
    <t xml:space="preserve">Std 2-15 d; Express 2 d (+&lt;=50%)</t>
  </si>
  <si>
    <t xml:space="preserve">Instant after free account</t>
  </si>
  <si>
    <t xml:space="preserve">FACT tiers + EST</t>
  </si>
  <si>
    <t xml:space="preserve">sculpteo.com pricing page (modified Feb 2026)</t>
  </si>
  <si>
    <t xml:space="preserve">Shapeways</t>
  </si>
  <si>
    <t xml:space="preserve">EU (NL)</t>
  </si>
  <si>
    <t xml:space="preserve">12-20</t>
  </si>
  <si>
    <t xml:space="preserve">Not published</t>
  </si>
  <si>
    <t xml:space="preserve">Instant after account; rate card no longer public</t>
  </si>
  <si>
    <t xml:space="preserve">Post-relaunch 'optimized MJF/SLS pricing' (Mar 2025); historic ~$1-1.5/cm3</t>
  </si>
  <si>
    <t xml:space="preserve">Protolabs</t>
  </si>
  <si>
    <t xml:space="preserve">EU/US</t>
  </si>
  <si>
    <t xml:space="preserve">100-150</t>
  </si>
  <si>
    <t xml:space="preserve">20-40</t>
  </si>
  <si>
    <t xml:space="preserve">150-300</t>
  </si>
  <si>
    <t xml:space="preserve">No MOQ; ~USD 95 practical floor (FACT)</t>
  </si>
  <si>
    <t xml:space="preserve">1-3 d expedite</t>
  </si>
  <si>
    <t xml:space="preserve">Instant; account required</t>
  </si>
  <si>
    <t xml:space="preserve">protolabs.com help center; 2024 benchmark: qty-1 MJF part $297 vs Craftcloud $62.65 [STALE]</t>
  </si>
  <si>
    <t xml:space="preserve">Hubs / Protolabs Network</t>
  </si>
  <si>
    <t xml:space="preserve">35-60</t>
  </si>
  <si>
    <t xml:space="preserve">40-70</t>
  </si>
  <si>
    <t xml:space="preserve">80-150</t>
  </si>
  <si>
    <t xml:space="preserve">Instant (98% of uploads); account required</t>
  </si>
  <si>
    <t xml:space="preserve">hubs.com; positioned between Xometry and Protolabs</t>
  </si>
  <si>
    <t xml:space="preserve">Where instant quoting failed or required manual RFQ:</t>
  </si>
  <si>
    <t xml:space="preserve">- Sculpteo and Shapeways: no CNC offering at all.</t>
  </si>
  <si>
    <t xml:space="preserve">- Craftcloud CNC: instant price shown, but partners routinely require a 2D PDF drawing and sales confirmation.</t>
  </si>
  <si>
    <t xml:space="preserve">- Facturee, CNC24: no instant quoting - manual RFQ model (hours to days).</t>
  </si>
  <si>
    <t xml:space="preserve">- PCBWay: instant price is provisional; final price only after human file review.</t>
  </si>
  <si>
    <t xml:space="preserve">- JLC3DP, Xometry, Protolabs, Sculpteo, Shapeways, Hubs: account wall before upload/quote.</t>
  </si>
  <si>
    <t xml:space="preserve">- Only Weerg and Craftcloud quote 3DP with no login. Cross-provider spread on identical parts is 4-5x (All3DP same-STL tests, Jun 2026 and Jul 2024).</t>
  </si>
  <si>
    <t xml:space="preserve">Scenario A: industrial FDM farm, Poland</t>
  </si>
  <si>
    <t xml:space="preserve">Blue text on yellow fill = editable assumption. Black = formula. Steady state unless noted.</t>
  </si>
  <si>
    <t xml:space="preserve">CAPEX</t>
  </si>
  <si>
    <t xml:space="preserve">Machine count</t>
  </si>
  <si>
    <t xml:space="preserve">User scenario: 20-30 units. Test 20 and 30.</t>
  </si>
  <si>
    <t xml:space="preserve">Cost per machine incl. spares, EUR</t>
  </si>
  <si>
    <t xml:space="preserve">ASSUMPTION. Range EUR 1,500 (Bambu H2D class) to EUR 12,000+ (Ultimaker S8 class). Most commercial farms now run prosumer-industrial CoreXY units.</t>
  </si>
  <si>
    <t xml:space="preserve">Machines subtotal, EUR</t>
  </si>
  <si>
    <t xml:space="preserve">Facility fit-out (racks, ventilation, electrical), EUR</t>
  </si>
  <si>
    <t xml:space="preserve">ASSUMPTION for ~300 m2 leased space in PL.</t>
  </si>
  <si>
    <t xml:space="preserve">Quoting engine + website build, EUR</t>
  </si>
  <si>
    <t xml:space="preserve">ASSUMPTION. Instant-quote engine is the core product; in-house build with off-the-shelf slicer APIs.</t>
  </si>
  <si>
    <t xml:space="preserve">Contingency, % of above</t>
  </si>
  <si>
    <t xml:space="preserve">Total CAPEX, EUR</t>
  </si>
  <si>
    <t xml:space="preserve">Operating assumptions</t>
  </si>
  <si>
    <t xml:space="preserve">Utilization (printing share of 8,760 h/yr)</t>
  </si>
  <si>
    <t xml:space="preserve">ASSUMPTION. 50% = ~12 h/day effective. Well-run farms reach 60%+; ramp-up years run lower.</t>
  </si>
  <si>
    <t xml:space="preserve">Realized revenue per machine-hour, EUR</t>
  </si>
  <si>
    <t xml:space="preserve">ESTIMATE. At ~20 g/h this is ~EUR 0.20/g - between JLC3DP (~USD 0.03-0.08/g) and Xometry EU (~EUR 0.30+/g). Key lever - test 3.00-6.00.</t>
  </si>
  <si>
    <t xml:space="preserve">Material throughput, g/h</t>
  </si>
  <si>
    <t xml:space="preserve">ASSUMPTION. 0.6 mm nozzle functional parts; 15-30 g/h typical.</t>
  </si>
  <si>
    <t xml:space="preserve">Material cost, EUR/kg</t>
  </si>
  <si>
    <t xml:space="preserve">FACT-range. ASA/PETG/PA-CF blended spool cost at volume.</t>
  </si>
  <si>
    <t xml:space="preserve">Operator FTE</t>
  </si>
  <si>
    <t xml:space="preserve">Loading, depowdering n/a, finishing, packing.</t>
  </si>
  <si>
    <t xml:space="preserve">Engineer / admin FTE</t>
  </si>
  <si>
    <t xml:space="preserve">Cost per operator FTE, EUR/yr</t>
  </si>
  <si>
    <t xml:space="preserve">FACT-anchored: PL manufacturing labour cost EUR 17.10/h (Eurostat 2025) x ~2,000 h.</t>
  </si>
  <si>
    <t xml:space="preserve">Cost per engineer FTE, EUR/yr</t>
  </si>
  <si>
    <t xml:space="preserve">Avg machine power draw, kW</t>
  </si>
  <si>
    <t xml:space="preserve">Electricity price, EUR/kWh</t>
  </si>
  <si>
    <t xml:space="preserve">PL industrial tariff, ASSUMPTION.</t>
  </si>
  <si>
    <t xml:space="preserve">Rent + utilities, EUR/yr</t>
  </si>
  <si>
    <t xml:space="preserve">~300 m2 at ~EUR 5/m2/month, PL regional city.</t>
  </si>
  <si>
    <t xml:space="preserve">Net shipping cost, % of revenue</t>
  </si>
  <si>
    <t xml:space="preserve">Most shipping billed to customer; net subsidy for free-shipping threshold.</t>
  </si>
  <si>
    <t xml:space="preserve">Marketing + payment fees, % of revenue</t>
  </si>
  <si>
    <t xml:space="preserve">Launch-phase level. SendCutSend playbook is content-led; can fall to ~5% at scale.</t>
  </si>
  <si>
    <t xml:space="preserve">Other overhead (SaaS, insurance, accounting), EUR/yr</t>
  </si>
  <si>
    <t xml:space="preserve">Year-1 demand ramp (share of steady-state revenue)</t>
  </si>
  <si>
    <t xml:space="preserve">Steady-state P&amp;L</t>
  </si>
  <si>
    <t xml:space="preserve">Machine-hours sold / yr</t>
  </si>
  <si>
    <t xml:space="preserve">Revenue, EUR</t>
  </si>
  <si>
    <t xml:space="preserve">Materials</t>
  </si>
  <si>
    <t xml:space="preserve">Labor</t>
  </si>
  <si>
    <t xml:space="preserve">Energy</t>
  </si>
  <si>
    <t xml:space="preserve">Rent + utilities</t>
  </si>
  <si>
    <t xml:space="preserve">Net shipping</t>
  </si>
  <si>
    <t xml:space="preserve">Marketing + payment fees</t>
  </si>
  <si>
    <t xml:space="preserve">Other overhead</t>
  </si>
  <si>
    <t xml:space="preserve">Total operating cost</t>
  </si>
  <si>
    <t xml:space="preserve">EBITDA, EUR</t>
  </si>
  <si>
    <t xml:space="preserve">EBITDA margin</t>
  </si>
  <si>
    <t xml:space="preserve">Compare: Weerg reports ~40% (company claim, Feb 2026).</t>
  </si>
  <si>
    <t xml:space="preserve">Year 1 and payback</t>
  </si>
  <si>
    <t xml:space="preserve">Year-1 revenue</t>
  </si>
  <si>
    <t xml:space="preserve">Year-1 EBITDA</t>
  </si>
  <si>
    <t xml:space="preserve">Variable costs scale with ramp; labor, rent, overhead do not.</t>
  </si>
  <si>
    <t xml:space="preserve">Payback on steady-state EBITDA, years</t>
  </si>
  <si>
    <t xml:space="preserve">Payback incl. Year-1 ramp, years</t>
  </si>
  <si>
    <t xml:space="preserve">Year 1 at ramp, then steady state.</t>
  </si>
  <si>
    <t xml:space="preserve">Revenue per EUR of CAPEX (steady state)</t>
  </si>
  <si>
    <t xml:space="preserve">Scenario B: single MJF cell (HP Jet Fusion 5600-class), Poland</t>
  </si>
  <si>
    <t xml:space="preserve">Blue text on yellow fill = editable assumption. Black = formula. A Formlabs Fuse SLS cell (~USD 57k complete) is the low-CAPEX alternative; see note row 51.</t>
  </si>
  <si>
    <t xml:space="preserve">Printer + processing station, EUR</t>
  </si>
  <si>
    <t xml:space="preserve">ESTIMATE. HP MJF 5000-series from ~USD 350k; 5200/5400/5600 series to USD 600k+ (mastergraphics.com dealer blog). Weerg runs 28-30x HP 5620.</t>
  </si>
  <si>
    <t xml:space="preserve">Ancillaries (bead blasting, dyeing, compressor), EUR</t>
  </si>
  <si>
    <t xml:space="preserve">Facility fit-out, EUR</t>
  </si>
  <si>
    <t xml:space="preserve">Build chamber volume, liters</t>
  </si>
  <si>
    <t xml:space="preserve">FACT: 380 x 284 x 380 mm chamber.</t>
  </si>
  <si>
    <t xml:space="preserve">Packing density</t>
  </si>
  <si>
    <t xml:space="preserve">ASSUMPTION. 8-12% typical for mixed job-shop builds.</t>
  </si>
  <si>
    <t xml:space="preserve">Builds per week</t>
  </si>
  <si>
    <t xml:space="preserve">ASSUMPTION. ~1/working day with fast-cooling processing station; 10+ possible with extra build units.</t>
  </si>
  <si>
    <t xml:space="preserve">Production weeks / yr</t>
  </si>
  <si>
    <t xml:space="preserve">Realized price, EUR/cm3</t>
  </si>
  <si>
    <t xml:space="preserve">ESTIMATE. JLC3DP effective ~EUR 0.10-0.15/cm3; Xometry EU small parts ~EUR 0.90; Weerg-competitive ~EUR 0.30-0.50. Key lever.</t>
  </si>
  <si>
    <t xml:space="preserve">PA12 powder price, EUR/kg</t>
  </si>
  <si>
    <t xml:space="preserve">Effective powder factor (refresh + waste)</t>
  </si>
  <si>
    <t xml:space="preserve">ASSUMPTION. 80% reuse ratio implies ~1.4-1.6x part weight in fresh powder.</t>
  </si>
  <si>
    <t xml:space="preserve">Part density, g/cm3</t>
  </si>
  <si>
    <t xml:space="preserve">FACT for MJF PA12.</t>
  </si>
  <si>
    <t xml:space="preserve">Agents + consumables, EUR/cm3</t>
  </si>
  <si>
    <t xml:space="preserve">Cost per FTE, EUR/yr</t>
  </si>
  <si>
    <t xml:space="preserve">Energy, EUR/yr</t>
  </si>
  <si>
    <t xml:space="preserve">Printer + station + compressor, ASSUMPTION.</t>
  </si>
  <si>
    <t xml:space="preserve">Net shipping, % of revenue</t>
  </si>
  <si>
    <t xml:space="preserve">Other overhead, EUR/yr</t>
  </si>
  <si>
    <t xml:space="preserve">Year-1 demand ramp</t>
  </si>
  <si>
    <t xml:space="preserve">Sellable volume, cm3/yr</t>
  </si>
  <si>
    <t xml:space="preserve">Powder</t>
  </si>
  <si>
    <t xml:space="preserve">Agents + consumables</t>
  </si>
  <si>
    <t xml:space="preserve">Year 1, payback and sanity checks</t>
  </si>
  <si>
    <t xml:space="preserve">Implied price of 20 cm3 PA12 bracket (Part A), EUR</t>
  </si>
  <si>
    <t xml:space="preserve">Sanity check vs Pricing Benchmark tab: Weerg est. EUR 10-20, JLC3DP USD 4-8 ex-ship.</t>
  </si>
  <si>
    <t xml:space="preserve">Low-CAPEX alternative: Formlabs Fuse 1+ 30W complete SLS package ~USD 57,442 (formlabs.com/dynamism.com, 2025-26). ~10x lower CAPEX, ~10x lower throughput; useful pilot before an HP cell.</t>
  </si>
  <si>
    <t xml:space="preserve">Entry scenarios side by side</t>
  </si>
  <si>
    <t xml:space="preserve">Green = pulled live from the model tabs. Change assumptions there; this updates.</t>
  </si>
  <si>
    <t xml:space="preserve">Metric</t>
  </si>
  <si>
    <t xml:space="preserve">A: FDM farm (25 units)</t>
  </si>
  <si>
    <t xml:space="preserve">B: MJF cell (1x HP 5600-class)</t>
  </si>
  <si>
    <t xml:space="preserve">Steady-state revenue, EUR</t>
  </si>
  <si>
    <t xml:space="preserve">Steady-state EBITDA, EUR</t>
  </si>
  <si>
    <t xml:space="preserve">Revenue per EUR CAPEX</t>
  </si>
  <si>
    <t xml:space="preserve">- Read: the FDM farm is the capital-efficient wedge (low CAPEX, ~1-2 yr payback) but sits in the segment most exposed to desktop-printer cannibalization and JLC3DP pricing.</t>
  </si>
  <si>
    <t xml:space="preserve">- The MJF cell carries ~3.5x the CAPEX and a longer payback at single-machine utilization, but produces the industrial PA12 parts that desktop printers cannot, at Weerg-class margins once utilization is high.</t>
  </si>
  <si>
    <t xml:space="preserve">- Weerg anchor: ~EUR 18M revenue, ~40% EBITDA, 2.5M parts/yr on 28-30 MJF machines (Industria Italiana, Feb 2026). Its economics come from fleet scale and uniform machines, not from any single cell.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</si>
</sst>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0"/>
    <numFmt numFmtId="168" formatCode="0.0"/>
    <numFmt numFmtId="169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2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5"/>
  </cols>
  <sheetData>
    <row r="1" customFormat="false" ht="17.35" hidden="false" customHeight="false" outlineLevel="0" collapsed="false">
      <c r="B1" s="1" t="s">
        <v>0</v>
      </c>
      <c r="C1" s="2"/>
    </row>
    <row r="2" customFormat="false" ht="15" hidden="false" customHeight="false" outlineLevel="0" collapsed="false">
      <c r="B2" s="3" t="s">
        <v>1</v>
      </c>
      <c r="C2" s="2"/>
    </row>
    <row r="3" customFormat="false" ht="15" hidden="false" customHeight="false" outlineLevel="0" collapsed="false">
      <c r="B3" s="4"/>
      <c r="C3" s="2"/>
    </row>
    <row r="4" customFormat="false" ht="15" hidden="false" customHeight="false" outlineLevel="0" collapsed="false">
      <c r="B4" s="5" t="s">
        <v>2</v>
      </c>
      <c r="C4" s="2"/>
    </row>
    <row r="5" customFormat="false" ht="15" hidden="false" customHeight="false" outlineLevel="0" collapsed="false">
      <c r="B5" s="6" t="s">
        <v>3</v>
      </c>
      <c r="C5" s="2" t="s">
        <v>4</v>
      </c>
    </row>
    <row r="6" customFormat="false" ht="15" hidden="false" customHeight="false" outlineLevel="0" collapsed="false">
      <c r="B6" s="6" t="s">
        <v>5</v>
      </c>
      <c r="C6" s="2" t="s">
        <v>6</v>
      </c>
    </row>
    <row r="7" customFormat="false" ht="15" hidden="false" customHeight="false" outlineLevel="0" collapsed="false">
      <c r="B7" s="6" t="s">
        <v>7</v>
      </c>
      <c r="C7" s="2" t="s">
        <v>8</v>
      </c>
    </row>
    <row r="8" customFormat="false" ht="15" hidden="false" customHeight="false" outlineLevel="0" collapsed="false">
      <c r="B8" s="6" t="s">
        <v>9</v>
      </c>
      <c r="C8" s="2" t="s">
        <v>10</v>
      </c>
    </row>
    <row r="9" customFormat="false" ht="15" hidden="false" customHeight="false" outlineLevel="0" collapsed="false">
      <c r="B9" s="6" t="s">
        <v>11</v>
      </c>
      <c r="C9" s="2" t="s">
        <v>12</v>
      </c>
    </row>
    <row r="10" customFormat="false" ht="15" hidden="false" customHeight="false" outlineLevel="0" collapsed="false">
      <c r="B10" s="4"/>
      <c r="C10" s="2"/>
    </row>
    <row r="11" customFormat="false" ht="15" hidden="false" customHeight="false" outlineLevel="0" collapsed="false">
      <c r="B11" s="5" t="s">
        <v>13</v>
      </c>
      <c r="C11" s="2"/>
    </row>
    <row r="12" customFormat="false" ht="15" hidden="false" customHeight="false" outlineLevel="0" collapsed="false">
      <c r="B12" s="6" t="s">
        <v>14</v>
      </c>
      <c r="C12" s="2" t="s">
        <v>15</v>
      </c>
    </row>
    <row r="13" customFormat="false" ht="15" hidden="false" customHeight="false" outlineLevel="0" collapsed="false">
      <c r="B13" s="6" t="s">
        <v>16</v>
      </c>
      <c r="C13" s="2" t="s">
        <v>17</v>
      </c>
    </row>
    <row r="14" customFormat="false" ht="15" hidden="false" customHeight="false" outlineLevel="0" collapsed="false">
      <c r="B14" s="4"/>
      <c r="C14" s="2"/>
    </row>
    <row r="15" customFormat="false" ht="15" hidden="false" customHeight="false" outlineLevel="0" collapsed="false">
      <c r="B15" s="5" t="s">
        <v>18</v>
      </c>
      <c r="C15" s="2"/>
    </row>
    <row r="16" customFormat="false" ht="15" hidden="false" customHeight="false" outlineLevel="0" collapsed="false">
      <c r="B16" s="6" t="s">
        <v>19</v>
      </c>
      <c r="C16" s="2" t="s">
        <v>20</v>
      </c>
    </row>
    <row r="17" customFormat="false" ht="15" hidden="false" customHeight="false" outlineLevel="0" collapsed="false">
      <c r="B17" s="6" t="s">
        <v>21</v>
      </c>
      <c r="C17" s="2" t="s">
        <v>22</v>
      </c>
    </row>
    <row r="18" customFormat="false" ht="15" hidden="false" customHeight="false" outlineLevel="0" collapsed="false">
      <c r="B18" s="6" t="s">
        <v>23</v>
      </c>
      <c r="C18" s="2" t="s">
        <v>24</v>
      </c>
    </row>
    <row r="19" customFormat="false" ht="15" hidden="false" customHeight="false" outlineLevel="0" collapsed="false">
      <c r="B19" s="6" t="s">
        <v>25</v>
      </c>
      <c r="C19" s="2" t="s">
        <v>26</v>
      </c>
    </row>
    <row r="20" customFormat="false" ht="15" hidden="false" customHeight="false" outlineLevel="0" collapsed="false">
      <c r="B20" s="4"/>
      <c r="C20" s="2"/>
    </row>
    <row r="21" customFormat="false" ht="15" hidden="false" customHeight="false" outlineLevel="0" collapsed="false">
      <c r="B21" s="5" t="s">
        <v>27</v>
      </c>
      <c r="C21" s="2"/>
    </row>
    <row r="22" customFormat="false" ht="23.85" hidden="false" customHeight="false" outlineLevel="0" collapsed="false">
      <c r="B22" s="6" t="s">
        <v>28</v>
      </c>
      <c r="C22" s="2" t="s">
        <v>29</v>
      </c>
    </row>
    <row r="23" customFormat="false" ht="15" hidden="false" customHeight="false" outlineLevel="0" collapsed="false">
      <c r="B23" s="6" t="s">
        <v>30</v>
      </c>
      <c r="C23" s="2" t="s">
        <v>31</v>
      </c>
    </row>
    <row r="24" customFormat="false" ht="23.85" hidden="false" customHeight="false" outlineLevel="0" collapsed="false">
      <c r="B24" s="6" t="s">
        <v>32</v>
      </c>
      <c r="C24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9" min="8" style="0" width="30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24"/>
    <col collapsed="false" customWidth="true" hidden="false" outlineLevel="0" max="13" min="13" style="0" width="22"/>
    <col collapsed="false" customWidth="true" hidden="false" outlineLevel="0" max="14" min="14" style="0" width="38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  <c r="K1" s="7" t="s">
        <v>44</v>
      </c>
      <c r="L1" s="7" t="s">
        <v>45</v>
      </c>
      <c r="M1" s="7" t="s">
        <v>46</v>
      </c>
      <c r="N1" s="7" t="s">
        <v>47</v>
      </c>
      <c r="O1" s="7" t="s">
        <v>48</v>
      </c>
    </row>
    <row r="2" customFormat="false" ht="35.05" hidden="false" customHeight="false" outlineLevel="0" collapsed="false">
      <c r="A2" s="8" t="s">
        <v>49</v>
      </c>
      <c r="B2" s="9" t="s">
        <v>50</v>
      </c>
      <c r="C2" s="9" t="s">
        <v>51</v>
      </c>
      <c r="D2" s="9" t="s">
        <v>52</v>
      </c>
      <c r="E2" s="9" t="s">
        <v>53</v>
      </c>
      <c r="F2" s="9" t="s">
        <v>54</v>
      </c>
      <c r="G2" s="9" t="s">
        <v>55</v>
      </c>
      <c r="H2" s="9" t="s">
        <v>56</v>
      </c>
      <c r="I2" s="9" t="s">
        <v>57</v>
      </c>
      <c r="J2" s="9" t="s">
        <v>58</v>
      </c>
      <c r="K2" s="9" t="s">
        <v>59</v>
      </c>
      <c r="L2" s="9" t="s">
        <v>60</v>
      </c>
      <c r="M2" s="9" t="s">
        <v>61</v>
      </c>
      <c r="N2" s="9" t="s">
        <v>62</v>
      </c>
      <c r="O2" s="9" t="s">
        <v>63</v>
      </c>
    </row>
    <row r="3" customFormat="false" ht="35.05" hidden="false" customHeight="false" outlineLevel="0" collapsed="false">
      <c r="A3" s="10" t="s">
        <v>64</v>
      </c>
      <c r="B3" s="11" t="s">
        <v>65</v>
      </c>
      <c r="C3" s="11" t="s">
        <v>51</v>
      </c>
      <c r="D3" s="11" t="s">
        <v>66</v>
      </c>
      <c r="E3" s="11" t="s">
        <v>67</v>
      </c>
      <c r="F3" s="11" t="s">
        <v>68</v>
      </c>
      <c r="G3" s="11" t="s">
        <v>69</v>
      </c>
      <c r="H3" s="11" t="s">
        <v>70</v>
      </c>
      <c r="I3" s="11" t="s">
        <v>71</v>
      </c>
      <c r="J3" s="11" t="s">
        <v>72</v>
      </c>
      <c r="K3" s="11" t="s">
        <v>73</v>
      </c>
      <c r="L3" s="11" t="s">
        <v>74</v>
      </c>
      <c r="M3" s="11" t="s">
        <v>75</v>
      </c>
      <c r="N3" s="11" t="s">
        <v>76</v>
      </c>
      <c r="O3" s="11" t="s">
        <v>77</v>
      </c>
    </row>
    <row r="4" customFormat="false" ht="35.05" hidden="false" customHeight="false" outlineLevel="0" collapsed="false">
      <c r="A4" s="8" t="s">
        <v>78</v>
      </c>
      <c r="B4" s="9" t="s">
        <v>79</v>
      </c>
      <c r="C4" s="9" t="s">
        <v>80</v>
      </c>
      <c r="D4" s="9" t="s">
        <v>81</v>
      </c>
      <c r="E4" s="9" t="s">
        <v>82</v>
      </c>
      <c r="F4" s="9" t="s">
        <v>83</v>
      </c>
      <c r="G4" s="9" t="s">
        <v>84</v>
      </c>
      <c r="H4" s="9" t="s">
        <v>85</v>
      </c>
      <c r="I4" s="9" t="s">
        <v>86</v>
      </c>
      <c r="J4" s="9" t="s">
        <v>87</v>
      </c>
      <c r="K4" s="9" t="s">
        <v>88</v>
      </c>
      <c r="L4" s="9" t="s">
        <v>89</v>
      </c>
      <c r="M4" s="9" t="s">
        <v>90</v>
      </c>
      <c r="N4" s="9" t="s">
        <v>91</v>
      </c>
      <c r="O4" s="9" t="s">
        <v>92</v>
      </c>
    </row>
    <row r="5" customFormat="false" ht="23.85" hidden="false" customHeight="false" outlineLevel="0" collapsed="false">
      <c r="A5" s="10" t="s">
        <v>93</v>
      </c>
      <c r="B5" s="11" t="s">
        <v>94</v>
      </c>
      <c r="C5" s="11" t="s">
        <v>95</v>
      </c>
      <c r="D5" s="11" t="s">
        <v>96</v>
      </c>
      <c r="E5" s="11" t="s">
        <v>67</v>
      </c>
      <c r="F5" s="11" t="s">
        <v>97</v>
      </c>
      <c r="G5" s="11" t="s">
        <v>98</v>
      </c>
      <c r="H5" s="11" t="s">
        <v>99</v>
      </c>
      <c r="I5" s="11" t="s">
        <v>100</v>
      </c>
      <c r="J5" s="11" t="s">
        <v>101</v>
      </c>
      <c r="K5" s="11" t="s">
        <v>102</v>
      </c>
      <c r="L5" s="11" t="s">
        <v>103</v>
      </c>
      <c r="M5" s="11" t="s">
        <v>104</v>
      </c>
      <c r="N5" s="11" t="s">
        <v>105</v>
      </c>
      <c r="O5" s="11" t="s">
        <v>106</v>
      </c>
    </row>
    <row r="6" customFormat="false" ht="46.25" hidden="false" customHeight="false" outlineLevel="0" collapsed="false">
      <c r="A6" s="8" t="s">
        <v>107</v>
      </c>
      <c r="B6" s="9" t="s">
        <v>108</v>
      </c>
      <c r="C6" s="9" t="s">
        <v>51</v>
      </c>
      <c r="D6" s="9" t="s">
        <v>109</v>
      </c>
      <c r="E6" s="9" t="s">
        <v>110</v>
      </c>
      <c r="F6" s="9" t="s">
        <v>111</v>
      </c>
      <c r="G6" s="9" t="s">
        <v>112</v>
      </c>
      <c r="H6" s="9" t="s">
        <v>113</v>
      </c>
      <c r="I6" s="9" t="s">
        <v>114</v>
      </c>
      <c r="J6" s="9" t="s">
        <v>115</v>
      </c>
      <c r="K6" s="9" t="s">
        <v>116</v>
      </c>
      <c r="L6" s="9" t="s">
        <v>60</v>
      </c>
      <c r="M6" s="9" t="s">
        <v>101</v>
      </c>
      <c r="N6" s="9" t="s">
        <v>117</v>
      </c>
      <c r="O6" s="9" t="s">
        <v>118</v>
      </c>
    </row>
    <row r="7" customFormat="false" ht="35.05" hidden="false" customHeight="false" outlineLevel="0" collapsed="false">
      <c r="A7" s="10" t="s">
        <v>119</v>
      </c>
      <c r="B7" s="11" t="s">
        <v>120</v>
      </c>
      <c r="C7" s="11" t="s">
        <v>121</v>
      </c>
      <c r="D7" s="11" t="s">
        <v>122</v>
      </c>
      <c r="E7" s="11" t="s">
        <v>123</v>
      </c>
      <c r="F7" s="11" t="s">
        <v>124</v>
      </c>
      <c r="G7" s="11" t="s">
        <v>69</v>
      </c>
      <c r="H7" s="11" t="s">
        <v>125</v>
      </c>
      <c r="I7" s="11" t="s">
        <v>126</v>
      </c>
      <c r="J7" s="11" t="s">
        <v>72</v>
      </c>
      <c r="K7" s="11" t="s">
        <v>127</v>
      </c>
      <c r="L7" s="11" t="s">
        <v>128</v>
      </c>
      <c r="M7" s="11" t="s">
        <v>129</v>
      </c>
      <c r="N7" s="11" t="s">
        <v>130</v>
      </c>
      <c r="O7" s="11" t="s">
        <v>131</v>
      </c>
    </row>
    <row r="8" customFormat="false" ht="35.05" hidden="false" customHeight="false" outlineLevel="0" collapsed="false">
      <c r="A8" s="8" t="s">
        <v>132</v>
      </c>
      <c r="B8" s="9" t="s">
        <v>133</v>
      </c>
      <c r="C8" s="9" t="s">
        <v>134</v>
      </c>
      <c r="D8" s="9" t="s">
        <v>135</v>
      </c>
      <c r="E8" s="9" t="s">
        <v>136</v>
      </c>
      <c r="F8" s="9" t="s">
        <v>137</v>
      </c>
      <c r="G8" s="9" t="s">
        <v>84</v>
      </c>
      <c r="H8" s="9" t="s">
        <v>138</v>
      </c>
      <c r="I8" s="9" t="s">
        <v>139</v>
      </c>
      <c r="J8" s="9" t="s">
        <v>101</v>
      </c>
      <c r="K8" s="9" t="s">
        <v>140</v>
      </c>
      <c r="L8" s="9" t="s">
        <v>141</v>
      </c>
      <c r="M8" s="9" t="s">
        <v>142</v>
      </c>
      <c r="N8" s="9" t="s">
        <v>143</v>
      </c>
      <c r="O8" s="9" t="s">
        <v>144</v>
      </c>
    </row>
    <row r="9" customFormat="false" ht="46.25" hidden="false" customHeight="false" outlineLevel="0" collapsed="false">
      <c r="A9" s="10" t="s">
        <v>145</v>
      </c>
      <c r="B9" s="11" t="s">
        <v>146</v>
      </c>
      <c r="C9" s="11" t="s">
        <v>147</v>
      </c>
      <c r="D9" s="11" t="s">
        <v>148</v>
      </c>
      <c r="E9" s="11" t="s">
        <v>53</v>
      </c>
      <c r="F9" s="11" t="s">
        <v>149</v>
      </c>
      <c r="G9" s="11" t="s">
        <v>150</v>
      </c>
      <c r="H9" s="11" t="s">
        <v>151</v>
      </c>
      <c r="I9" s="11" t="s">
        <v>152</v>
      </c>
      <c r="J9" s="11" t="s">
        <v>115</v>
      </c>
      <c r="K9" s="11" t="s">
        <v>153</v>
      </c>
      <c r="L9" s="11" t="s">
        <v>154</v>
      </c>
      <c r="M9" s="11" t="s">
        <v>104</v>
      </c>
      <c r="N9" s="11" t="s">
        <v>155</v>
      </c>
      <c r="O9" s="11" t="s">
        <v>156</v>
      </c>
    </row>
    <row r="10" customFormat="false" ht="46.25" hidden="false" customHeight="false" outlineLevel="0" collapsed="false">
      <c r="A10" s="8" t="s">
        <v>157</v>
      </c>
      <c r="B10" s="9" t="s">
        <v>146</v>
      </c>
      <c r="C10" s="9" t="s">
        <v>80</v>
      </c>
      <c r="D10" s="9" t="s">
        <v>158</v>
      </c>
      <c r="E10" s="9" t="s">
        <v>159</v>
      </c>
      <c r="F10" s="9" t="s">
        <v>160</v>
      </c>
      <c r="G10" s="9" t="s">
        <v>84</v>
      </c>
      <c r="H10" s="9" t="s">
        <v>161</v>
      </c>
      <c r="I10" s="9" t="s">
        <v>162</v>
      </c>
      <c r="J10" s="9" t="s">
        <v>72</v>
      </c>
      <c r="K10" s="9" t="s">
        <v>163</v>
      </c>
      <c r="L10" s="9" t="s">
        <v>164</v>
      </c>
      <c r="M10" s="9" t="s">
        <v>165</v>
      </c>
      <c r="N10" s="9" t="s">
        <v>166</v>
      </c>
      <c r="O10" s="9" t="s">
        <v>167</v>
      </c>
    </row>
    <row r="11" customFormat="false" ht="35.05" hidden="false" customHeight="false" outlineLevel="0" collapsed="false">
      <c r="A11" s="10" t="s">
        <v>168</v>
      </c>
      <c r="B11" s="11" t="s">
        <v>169</v>
      </c>
      <c r="C11" s="11" t="s">
        <v>80</v>
      </c>
      <c r="D11" s="11" t="s">
        <v>170</v>
      </c>
      <c r="E11" s="11" t="s">
        <v>171</v>
      </c>
      <c r="F11" s="11" t="s">
        <v>172</v>
      </c>
      <c r="G11" s="11" t="s">
        <v>84</v>
      </c>
      <c r="H11" s="11" t="s">
        <v>173</v>
      </c>
      <c r="I11" s="11" t="s">
        <v>174</v>
      </c>
      <c r="J11" s="11" t="s">
        <v>175</v>
      </c>
      <c r="K11" s="11" t="s">
        <v>176</v>
      </c>
      <c r="L11" s="11" t="s">
        <v>89</v>
      </c>
      <c r="M11" s="11" t="s">
        <v>177</v>
      </c>
      <c r="N11" s="11" t="s">
        <v>178</v>
      </c>
      <c r="O11" s="11" t="s">
        <v>179</v>
      </c>
    </row>
    <row r="12" customFormat="false" ht="35.05" hidden="false" customHeight="false" outlineLevel="0" collapsed="false">
      <c r="A12" s="8" t="s">
        <v>180</v>
      </c>
      <c r="B12" s="9" t="s">
        <v>181</v>
      </c>
      <c r="C12" s="9" t="s">
        <v>80</v>
      </c>
      <c r="D12" s="9" t="s">
        <v>182</v>
      </c>
      <c r="E12" s="9" t="s">
        <v>183</v>
      </c>
      <c r="F12" s="9" t="s">
        <v>172</v>
      </c>
      <c r="G12" s="9" t="s">
        <v>84</v>
      </c>
      <c r="H12" s="9" t="s">
        <v>184</v>
      </c>
      <c r="I12" s="9" t="s">
        <v>185</v>
      </c>
      <c r="J12" s="9" t="s">
        <v>101</v>
      </c>
      <c r="K12" s="9" t="s">
        <v>186</v>
      </c>
      <c r="L12" s="9" t="s">
        <v>187</v>
      </c>
      <c r="M12" s="9" t="s">
        <v>188</v>
      </c>
      <c r="N12" s="9" t="s">
        <v>189</v>
      </c>
      <c r="O12" s="9" t="s">
        <v>190</v>
      </c>
    </row>
    <row r="13" customFormat="false" ht="23.85" hidden="false" customHeight="false" outlineLevel="0" collapsed="false">
      <c r="A13" s="10" t="s">
        <v>191</v>
      </c>
      <c r="B13" s="11" t="s">
        <v>192</v>
      </c>
      <c r="C13" s="11" t="s">
        <v>193</v>
      </c>
      <c r="D13" s="11" t="s">
        <v>194</v>
      </c>
      <c r="E13" s="11" t="s">
        <v>195</v>
      </c>
      <c r="F13" s="11" t="s">
        <v>172</v>
      </c>
      <c r="G13" s="11" t="s">
        <v>84</v>
      </c>
      <c r="H13" s="11" t="s">
        <v>196</v>
      </c>
      <c r="I13" s="11" t="s">
        <v>197</v>
      </c>
      <c r="J13" s="11" t="s">
        <v>101</v>
      </c>
      <c r="K13" s="11" t="s">
        <v>198</v>
      </c>
      <c r="L13" s="11" t="s">
        <v>199</v>
      </c>
      <c r="M13" s="11" t="s">
        <v>200</v>
      </c>
      <c r="N13" s="11" t="s">
        <v>201</v>
      </c>
      <c r="O13" s="11" t="s">
        <v>202</v>
      </c>
    </row>
    <row r="14" customFormat="false" ht="46.25" hidden="false" customHeight="false" outlineLevel="0" collapsed="false">
      <c r="A14" s="8" t="s">
        <v>203</v>
      </c>
      <c r="B14" s="9" t="s">
        <v>204</v>
      </c>
      <c r="C14" s="9" t="s">
        <v>80</v>
      </c>
      <c r="D14" s="9" t="s">
        <v>205</v>
      </c>
      <c r="E14" s="9" t="s">
        <v>67</v>
      </c>
      <c r="F14" s="9" t="s">
        <v>172</v>
      </c>
      <c r="G14" s="9" t="s">
        <v>206</v>
      </c>
      <c r="H14" s="9" t="s">
        <v>207</v>
      </c>
      <c r="I14" s="9" t="s">
        <v>208</v>
      </c>
      <c r="J14" s="9" t="s">
        <v>101</v>
      </c>
      <c r="K14" s="9" t="s">
        <v>209</v>
      </c>
      <c r="L14" s="9" t="s">
        <v>210</v>
      </c>
      <c r="M14" s="9" t="s">
        <v>104</v>
      </c>
      <c r="N14" s="9" t="s">
        <v>211</v>
      </c>
      <c r="O14" s="9" t="s">
        <v>212</v>
      </c>
    </row>
    <row r="15" customFormat="false" ht="23.85" hidden="false" customHeight="false" outlineLevel="0" collapsed="false">
      <c r="A15" s="10" t="s">
        <v>213</v>
      </c>
      <c r="B15" s="11" t="s">
        <v>146</v>
      </c>
      <c r="C15" s="11" t="s">
        <v>214</v>
      </c>
      <c r="D15" s="11" t="s">
        <v>215</v>
      </c>
      <c r="E15" s="11" t="s">
        <v>216</v>
      </c>
      <c r="F15" s="11" t="s">
        <v>217</v>
      </c>
      <c r="G15" s="11" t="s">
        <v>218</v>
      </c>
      <c r="H15" s="11" t="s">
        <v>219</v>
      </c>
      <c r="I15" s="11" t="s">
        <v>220</v>
      </c>
      <c r="J15" s="11" t="s">
        <v>101</v>
      </c>
      <c r="K15" s="11" t="s">
        <v>221</v>
      </c>
      <c r="L15" s="11" t="s">
        <v>60</v>
      </c>
      <c r="M15" s="11" t="s">
        <v>210</v>
      </c>
      <c r="N15" s="11" t="s">
        <v>222</v>
      </c>
      <c r="O15" s="11" t="s">
        <v>223</v>
      </c>
    </row>
    <row r="16" customFormat="false" ht="35.05" hidden="false" customHeight="false" outlineLevel="0" collapsed="false">
      <c r="A16" s="8" t="s">
        <v>224</v>
      </c>
      <c r="B16" s="9" t="s">
        <v>192</v>
      </c>
      <c r="C16" s="9" t="s">
        <v>225</v>
      </c>
      <c r="D16" s="9" t="s">
        <v>226</v>
      </c>
      <c r="E16" s="9" t="s">
        <v>227</v>
      </c>
      <c r="F16" s="9" t="s">
        <v>228</v>
      </c>
      <c r="G16" s="9" t="s">
        <v>84</v>
      </c>
      <c r="H16" s="9" t="s">
        <v>229</v>
      </c>
      <c r="I16" s="9" t="s">
        <v>230</v>
      </c>
      <c r="J16" s="9" t="s">
        <v>101</v>
      </c>
      <c r="K16" s="9" t="s">
        <v>231</v>
      </c>
      <c r="L16" s="9" t="s">
        <v>232</v>
      </c>
      <c r="M16" s="9" t="s">
        <v>233</v>
      </c>
      <c r="N16" s="9" t="s">
        <v>234</v>
      </c>
      <c r="O16" s="9" t="s">
        <v>235</v>
      </c>
    </row>
    <row r="17" customFormat="false" ht="46.25" hidden="false" customHeight="false" outlineLevel="0" collapsed="false">
      <c r="A17" s="10" t="s">
        <v>236</v>
      </c>
      <c r="B17" s="11" t="s">
        <v>237</v>
      </c>
      <c r="C17" s="11" t="s">
        <v>238</v>
      </c>
      <c r="D17" s="11" t="s">
        <v>239</v>
      </c>
      <c r="E17" s="11" t="s">
        <v>123</v>
      </c>
      <c r="F17" s="11" t="s">
        <v>123</v>
      </c>
      <c r="G17" s="11" t="s">
        <v>123</v>
      </c>
      <c r="H17" s="11" t="s">
        <v>240</v>
      </c>
      <c r="I17" s="11" t="s">
        <v>241</v>
      </c>
      <c r="J17" s="11" t="s">
        <v>115</v>
      </c>
      <c r="K17" s="11" t="s">
        <v>242</v>
      </c>
      <c r="L17" s="11" t="s">
        <v>243</v>
      </c>
      <c r="M17" s="11" t="s">
        <v>243</v>
      </c>
      <c r="N17" s="11" t="s">
        <v>244</v>
      </c>
      <c r="O17" s="11" t="s">
        <v>245</v>
      </c>
    </row>
    <row r="18" customFormat="false" ht="35.05" hidden="false" customHeight="false" outlineLevel="0" collapsed="false">
      <c r="A18" s="8" t="s">
        <v>246</v>
      </c>
      <c r="B18" s="9" t="s">
        <v>192</v>
      </c>
      <c r="C18" s="9" t="s">
        <v>247</v>
      </c>
      <c r="D18" s="9" t="s">
        <v>248</v>
      </c>
      <c r="E18" s="9" t="s">
        <v>249</v>
      </c>
      <c r="F18" s="9" t="s">
        <v>172</v>
      </c>
      <c r="G18" s="9" t="s">
        <v>250</v>
      </c>
      <c r="H18" s="9" t="s">
        <v>251</v>
      </c>
      <c r="I18" s="9" t="s">
        <v>252</v>
      </c>
      <c r="J18" s="9" t="s">
        <v>101</v>
      </c>
      <c r="K18" s="9" t="s">
        <v>253</v>
      </c>
      <c r="L18" s="9" t="s">
        <v>254</v>
      </c>
      <c r="M18" s="9" t="s">
        <v>255</v>
      </c>
      <c r="N18" s="9" t="s">
        <v>256</v>
      </c>
      <c r="O18" s="9" t="s">
        <v>257</v>
      </c>
    </row>
    <row r="19" customFormat="false" ht="23.85" hidden="false" customHeight="false" outlineLevel="0" collapsed="false">
      <c r="A19" s="10" t="s">
        <v>258</v>
      </c>
      <c r="B19" s="11" t="s">
        <v>204</v>
      </c>
      <c r="C19" s="11" t="s">
        <v>259</v>
      </c>
      <c r="D19" s="11" t="s">
        <v>260</v>
      </c>
      <c r="E19" s="11" t="s">
        <v>67</v>
      </c>
      <c r="F19" s="11" t="s">
        <v>172</v>
      </c>
      <c r="G19" s="11" t="s">
        <v>261</v>
      </c>
      <c r="H19" s="11" t="s">
        <v>262</v>
      </c>
      <c r="I19" s="11" t="s">
        <v>263</v>
      </c>
      <c r="J19" s="11" t="s">
        <v>101</v>
      </c>
      <c r="K19" s="11" t="s">
        <v>264</v>
      </c>
      <c r="L19" s="11" t="s">
        <v>60</v>
      </c>
      <c r="M19" s="11" t="s">
        <v>104</v>
      </c>
      <c r="N19" s="11" t="s">
        <v>265</v>
      </c>
      <c r="O19" s="11" t="s">
        <v>266</v>
      </c>
    </row>
    <row r="20" customFormat="false" ht="35.05" hidden="false" customHeight="false" outlineLevel="0" collapsed="false">
      <c r="A20" s="8" t="s">
        <v>267</v>
      </c>
      <c r="B20" s="9" t="s">
        <v>268</v>
      </c>
      <c r="C20" s="9" t="s">
        <v>269</v>
      </c>
      <c r="D20" s="9" t="s">
        <v>270</v>
      </c>
      <c r="E20" s="9" t="s">
        <v>67</v>
      </c>
      <c r="F20" s="9" t="s">
        <v>172</v>
      </c>
      <c r="G20" s="9" t="s">
        <v>84</v>
      </c>
      <c r="H20" s="9" t="s">
        <v>271</v>
      </c>
      <c r="I20" s="9" t="s">
        <v>272</v>
      </c>
      <c r="J20" s="9" t="s">
        <v>101</v>
      </c>
      <c r="K20" s="9" t="s">
        <v>273</v>
      </c>
      <c r="L20" s="9" t="s">
        <v>274</v>
      </c>
      <c r="M20" s="9" t="s">
        <v>104</v>
      </c>
      <c r="N20" s="9" t="s">
        <v>275</v>
      </c>
      <c r="O20" s="9" t="s">
        <v>276</v>
      </c>
    </row>
    <row r="21" customFormat="false" ht="35.05" hidden="false" customHeight="false" outlineLevel="0" collapsed="false">
      <c r="A21" s="10" t="s">
        <v>277</v>
      </c>
      <c r="B21" s="11" t="s">
        <v>278</v>
      </c>
      <c r="C21" s="11" t="s">
        <v>279</v>
      </c>
      <c r="D21" s="11" t="s">
        <v>280</v>
      </c>
      <c r="E21" s="11" t="s">
        <v>281</v>
      </c>
      <c r="F21" s="11" t="s">
        <v>282</v>
      </c>
      <c r="G21" s="11" t="s">
        <v>283</v>
      </c>
      <c r="H21" s="11" t="s">
        <v>284</v>
      </c>
      <c r="I21" s="11" t="s">
        <v>285</v>
      </c>
      <c r="J21" s="11" t="s">
        <v>286</v>
      </c>
      <c r="K21" s="11" t="s">
        <v>287</v>
      </c>
      <c r="L21" s="11" t="s">
        <v>60</v>
      </c>
      <c r="M21" s="11" t="s">
        <v>288</v>
      </c>
      <c r="N21" s="11" t="s">
        <v>289</v>
      </c>
      <c r="O21" s="11" t="s">
        <v>290</v>
      </c>
    </row>
    <row r="22" customFormat="false" ht="35.05" hidden="false" customHeight="false" outlineLevel="0" collapsed="false">
      <c r="A22" s="8" t="s">
        <v>291</v>
      </c>
      <c r="B22" s="9" t="s">
        <v>278</v>
      </c>
      <c r="C22" s="9" t="s">
        <v>292</v>
      </c>
      <c r="D22" s="9" t="s">
        <v>293</v>
      </c>
      <c r="E22" s="9" t="s">
        <v>294</v>
      </c>
      <c r="F22" s="9" t="s">
        <v>295</v>
      </c>
      <c r="G22" s="9" t="s">
        <v>296</v>
      </c>
      <c r="H22" s="9" t="s">
        <v>297</v>
      </c>
      <c r="I22" s="9" t="s">
        <v>298</v>
      </c>
      <c r="J22" s="9" t="s">
        <v>101</v>
      </c>
      <c r="K22" s="9" t="s">
        <v>299</v>
      </c>
      <c r="L22" s="9" t="s">
        <v>60</v>
      </c>
      <c r="M22" s="9" t="s">
        <v>104</v>
      </c>
      <c r="N22" s="9" t="s">
        <v>300</v>
      </c>
      <c r="O22" s="9" t="s">
        <v>301</v>
      </c>
    </row>
    <row r="23" customFormat="false" ht="35.05" hidden="false" customHeight="false" outlineLevel="0" collapsed="false">
      <c r="A23" s="10" t="s">
        <v>302</v>
      </c>
      <c r="B23" s="11" t="s">
        <v>278</v>
      </c>
      <c r="C23" s="11" t="s">
        <v>303</v>
      </c>
      <c r="D23" s="11" t="s">
        <v>304</v>
      </c>
      <c r="E23" s="11" t="s">
        <v>305</v>
      </c>
      <c r="F23" s="11" t="s">
        <v>306</v>
      </c>
      <c r="G23" s="11" t="s">
        <v>307</v>
      </c>
      <c r="H23" s="11" t="s">
        <v>297</v>
      </c>
      <c r="I23" s="11" t="s">
        <v>298</v>
      </c>
      <c r="J23" s="11" t="s">
        <v>101</v>
      </c>
      <c r="K23" s="11" t="s">
        <v>308</v>
      </c>
      <c r="L23" s="11" t="s">
        <v>309</v>
      </c>
      <c r="M23" s="11" t="s">
        <v>104</v>
      </c>
      <c r="N23" s="11" t="s">
        <v>310</v>
      </c>
      <c r="O23" s="11" t="s">
        <v>311</v>
      </c>
    </row>
    <row r="24" customFormat="false" ht="35.05" hidden="false" customHeight="false" outlineLevel="0" collapsed="false">
      <c r="A24" s="8" t="s">
        <v>312</v>
      </c>
      <c r="B24" s="9" t="s">
        <v>313</v>
      </c>
      <c r="C24" s="9" t="s">
        <v>314</v>
      </c>
      <c r="D24" s="9" t="s">
        <v>315</v>
      </c>
      <c r="E24" s="9" t="s">
        <v>67</v>
      </c>
      <c r="F24" s="9" t="s">
        <v>316</v>
      </c>
      <c r="G24" s="9" t="s">
        <v>317</v>
      </c>
      <c r="H24" s="9" t="s">
        <v>297</v>
      </c>
      <c r="I24" s="9" t="s">
        <v>318</v>
      </c>
      <c r="J24" s="9" t="s">
        <v>101</v>
      </c>
      <c r="K24" s="9" t="s">
        <v>319</v>
      </c>
      <c r="L24" s="9" t="s">
        <v>320</v>
      </c>
      <c r="M24" s="9" t="s">
        <v>104</v>
      </c>
      <c r="N24" s="9" t="s">
        <v>321</v>
      </c>
      <c r="O24" s="9" t="s">
        <v>322</v>
      </c>
    </row>
    <row r="25" customFormat="false" ht="46.25" hidden="false" customHeight="false" outlineLevel="0" collapsed="false">
      <c r="A25" s="10" t="s">
        <v>323</v>
      </c>
      <c r="B25" s="11" t="s">
        <v>324</v>
      </c>
      <c r="C25" s="11" t="s">
        <v>51</v>
      </c>
      <c r="D25" s="11" t="s">
        <v>325</v>
      </c>
      <c r="E25" s="11" t="s">
        <v>326</v>
      </c>
      <c r="F25" s="11" t="s">
        <v>327</v>
      </c>
      <c r="G25" s="11" t="s">
        <v>328</v>
      </c>
      <c r="H25" s="11" t="s">
        <v>329</v>
      </c>
      <c r="I25" s="11" t="s">
        <v>330</v>
      </c>
      <c r="J25" s="11" t="s">
        <v>72</v>
      </c>
      <c r="K25" s="11" t="s">
        <v>331</v>
      </c>
      <c r="L25" s="11" t="s">
        <v>332</v>
      </c>
      <c r="M25" s="11" t="s">
        <v>333</v>
      </c>
      <c r="N25" s="11" t="s">
        <v>334</v>
      </c>
      <c r="O25" s="11" t="s">
        <v>335</v>
      </c>
    </row>
    <row r="26" customFormat="false" ht="35.05" hidden="false" customHeight="false" outlineLevel="0" collapsed="false">
      <c r="A26" s="8" t="s">
        <v>336</v>
      </c>
      <c r="B26" s="9" t="s">
        <v>337</v>
      </c>
      <c r="C26" s="9" t="s">
        <v>51</v>
      </c>
      <c r="D26" s="9" t="s">
        <v>338</v>
      </c>
      <c r="E26" s="9" t="s">
        <v>339</v>
      </c>
      <c r="F26" s="9" t="s">
        <v>172</v>
      </c>
      <c r="G26" s="9" t="s">
        <v>84</v>
      </c>
      <c r="H26" s="9" t="s">
        <v>340</v>
      </c>
      <c r="I26" s="9" t="s">
        <v>341</v>
      </c>
      <c r="J26" s="9" t="s">
        <v>175</v>
      </c>
      <c r="K26" s="9" t="s">
        <v>342</v>
      </c>
      <c r="L26" s="9" t="s">
        <v>343</v>
      </c>
      <c r="M26" s="9" t="s">
        <v>344</v>
      </c>
      <c r="N26" s="9" t="s">
        <v>345</v>
      </c>
      <c r="O26" s="9" t="s">
        <v>346</v>
      </c>
    </row>
    <row r="27" customFormat="false" ht="23.85" hidden="false" customHeight="false" outlineLevel="0" collapsed="false">
      <c r="A27" s="10" t="s">
        <v>347</v>
      </c>
      <c r="B27" s="11" t="s">
        <v>348</v>
      </c>
      <c r="C27" s="11" t="s">
        <v>51</v>
      </c>
      <c r="D27" s="11" t="s">
        <v>349</v>
      </c>
      <c r="E27" s="11" t="s">
        <v>339</v>
      </c>
      <c r="F27" s="11" t="s">
        <v>350</v>
      </c>
      <c r="G27" s="11" t="s">
        <v>351</v>
      </c>
      <c r="H27" s="11" t="s">
        <v>352</v>
      </c>
      <c r="I27" s="11" t="s">
        <v>298</v>
      </c>
      <c r="J27" s="11" t="s">
        <v>101</v>
      </c>
      <c r="K27" s="11" t="s">
        <v>353</v>
      </c>
      <c r="L27" s="11" t="s">
        <v>243</v>
      </c>
      <c r="M27" s="11" t="s">
        <v>104</v>
      </c>
      <c r="N27" s="11" t="s">
        <v>234</v>
      </c>
      <c r="O27" s="11" t="s">
        <v>354</v>
      </c>
    </row>
    <row r="28" customFormat="false" ht="23.85" hidden="false" customHeight="false" outlineLevel="0" collapsed="false">
      <c r="A28" s="8" t="s">
        <v>355</v>
      </c>
      <c r="B28" s="9" t="s">
        <v>348</v>
      </c>
      <c r="C28" s="9" t="s">
        <v>356</v>
      </c>
      <c r="D28" s="9" t="s">
        <v>357</v>
      </c>
      <c r="E28" s="9" t="s">
        <v>358</v>
      </c>
      <c r="F28" s="9" t="s">
        <v>172</v>
      </c>
      <c r="G28" s="9" t="s">
        <v>84</v>
      </c>
      <c r="H28" s="9" t="s">
        <v>359</v>
      </c>
      <c r="I28" s="9" t="s">
        <v>243</v>
      </c>
      <c r="J28" s="9" t="s">
        <v>101</v>
      </c>
      <c r="K28" s="9" t="s">
        <v>348</v>
      </c>
      <c r="L28" s="9" t="s">
        <v>243</v>
      </c>
      <c r="M28" s="9" t="s">
        <v>104</v>
      </c>
      <c r="N28" s="9" t="s">
        <v>360</v>
      </c>
      <c r="O28" s="9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6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30"/>
    <col collapsed="false" customWidth="true" hidden="false" outlineLevel="0" max="12" min="12" style="0" width="11"/>
    <col collapsed="false" customWidth="true" hidden="false" outlineLevel="0" max="13" min="13" style="0" width="46"/>
  </cols>
  <sheetData>
    <row r="1" customFormat="false" ht="17.35" hidden="false" customHeight="false" outlineLevel="0" collapsed="false">
      <c r="A1" s="1" t="s">
        <v>362</v>
      </c>
    </row>
    <row r="2" customFormat="false" ht="15" hidden="false" customHeight="false" outlineLevel="0" collapsed="false">
      <c r="A2" s="3" t="s">
        <v>363</v>
      </c>
    </row>
    <row r="3" customFormat="false" ht="15" hidden="false" customHeight="false" outlineLevel="0" collapsed="false">
      <c r="A3" s="3" t="s">
        <v>364</v>
      </c>
    </row>
    <row r="5" customFormat="false" ht="23.85" hidden="false" customHeight="false" outlineLevel="0" collapsed="false">
      <c r="A5" s="7" t="s">
        <v>365</v>
      </c>
      <c r="B5" s="7" t="s">
        <v>366</v>
      </c>
      <c r="C5" s="7" t="s">
        <v>367</v>
      </c>
      <c r="D5" s="7" t="s">
        <v>368</v>
      </c>
      <c r="E5" s="7" t="s">
        <v>369</v>
      </c>
      <c r="F5" s="7" t="s">
        <v>370</v>
      </c>
      <c r="G5" s="7" t="s">
        <v>371</v>
      </c>
      <c r="H5" s="7" t="s">
        <v>372</v>
      </c>
      <c r="I5" s="7" t="s">
        <v>373</v>
      </c>
      <c r="J5" s="7" t="s">
        <v>374</v>
      </c>
      <c r="K5" s="7" t="s">
        <v>375</v>
      </c>
      <c r="L5" s="7" t="s">
        <v>376</v>
      </c>
      <c r="M5" s="7" t="s">
        <v>377</v>
      </c>
    </row>
    <row r="6" customFormat="false" ht="23.85" hidden="false" customHeight="false" outlineLevel="0" collapsed="false">
      <c r="A6" s="8" t="s">
        <v>378</v>
      </c>
      <c r="B6" s="9" t="s">
        <v>379</v>
      </c>
      <c r="C6" s="9" t="s">
        <v>380</v>
      </c>
      <c r="D6" s="9" t="s">
        <v>381</v>
      </c>
      <c r="E6" s="9" t="s">
        <v>382</v>
      </c>
      <c r="F6" s="9" t="s">
        <v>383</v>
      </c>
      <c r="G6" s="9" t="s">
        <v>384</v>
      </c>
      <c r="H6" s="9" t="s">
        <v>385</v>
      </c>
      <c r="I6" s="9" t="s">
        <v>386</v>
      </c>
      <c r="J6" s="9" t="s">
        <v>387</v>
      </c>
      <c r="K6" s="9" t="s">
        <v>388</v>
      </c>
      <c r="L6" s="9" t="s">
        <v>21</v>
      </c>
      <c r="M6" s="9" t="s">
        <v>389</v>
      </c>
    </row>
    <row r="7" customFormat="false" ht="23.85" hidden="false" customHeight="false" outlineLevel="0" collapsed="false">
      <c r="A7" s="10" t="s">
        <v>390</v>
      </c>
      <c r="B7" s="11" t="s">
        <v>379</v>
      </c>
      <c r="C7" s="11" t="s">
        <v>391</v>
      </c>
      <c r="D7" s="11" t="s">
        <v>392</v>
      </c>
      <c r="E7" s="11" t="s">
        <v>393</v>
      </c>
      <c r="F7" s="11" t="s">
        <v>394</v>
      </c>
      <c r="G7" s="11" t="s">
        <v>395</v>
      </c>
      <c r="H7" s="11" t="s">
        <v>385</v>
      </c>
      <c r="I7" s="11" t="s">
        <v>396</v>
      </c>
      <c r="J7" s="11" t="s">
        <v>397</v>
      </c>
      <c r="K7" s="11" t="s">
        <v>398</v>
      </c>
      <c r="L7" s="11" t="s">
        <v>399</v>
      </c>
      <c r="M7" s="11" t="s">
        <v>400</v>
      </c>
    </row>
    <row r="8" customFormat="false" ht="23.85" hidden="false" customHeight="false" outlineLevel="0" collapsed="false">
      <c r="A8" s="8" t="s">
        <v>302</v>
      </c>
      <c r="B8" s="9" t="s">
        <v>379</v>
      </c>
      <c r="C8" s="9" t="s">
        <v>401</v>
      </c>
      <c r="D8" s="9" t="s">
        <v>402</v>
      </c>
      <c r="E8" s="9" t="s">
        <v>403</v>
      </c>
      <c r="F8" s="9" t="s">
        <v>404</v>
      </c>
      <c r="G8" s="9" t="s">
        <v>405</v>
      </c>
      <c r="H8" s="9" t="s">
        <v>385</v>
      </c>
      <c r="I8" s="9" t="s">
        <v>406</v>
      </c>
      <c r="J8" s="9" t="s">
        <v>407</v>
      </c>
      <c r="K8" s="9" t="s">
        <v>408</v>
      </c>
      <c r="L8" s="9" t="s">
        <v>21</v>
      </c>
      <c r="M8" s="9" t="s">
        <v>409</v>
      </c>
    </row>
    <row r="9" customFormat="false" ht="23.85" hidden="false" customHeight="false" outlineLevel="0" collapsed="false">
      <c r="A9" s="10" t="s">
        <v>410</v>
      </c>
      <c r="B9" s="11" t="s">
        <v>80</v>
      </c>
      <c r="C9" s="11" t="s">
        <v>411</v>
      </c>
      <c r="D9" s="11" t="s">
        <v>412</v>
      </c>
      <c r="E9" s="11" t="s">
        <v>413</v>
      </c>
      <c r="F9" s="11" t="s">
        <v>414</v>
      </c>
      <c r="G9" s="11" t="s">
        <v>415</v>
      </c>
      <c r="H9" s="11" t="s">
        <v>385</v>
      </c>
      <c r="I9" s="11" t="s">
        <v>416</v>
      </c>
      <c r="J9" s="11" t="s">
        <v>417</v>
      </c>
      <c r="K9" s="11" t="s">
        <v>418</v>
      </c>
      <c r="L9" s="11" t="s">
        <v>419</v>
      </c>
      <c r="M9" s="11" t="s">
        <v>420</v>
      </c>
    </row>
    <row r="10" customFormat="false" ht="35.05" hidden="false" customHeight="false" outlineLevel="0" collapsed="false">
      <c r="A10" s="8" t="s">
        <v>157</v>
      </c>
      <c r="B10" s="9" t="s">
        <v>421</v>
      </c>
      <c r="C10" s="9" t="s">
        <v>422</v>
      </c>
      <c r="D10" s="9" t="s">
        <v>423</v>
      </c>
      <c r="E10" s="9" t="s">
        <v>424</v>
      </c>
      <c r="F10" s="9" t="s">
        <v>425</v>
      </c>
      <c r="G10" s="9" t="s">
        <v>383</v>
      </c>
      <c r="H10" s="9" t="s">
        <v>426</v>
      </c>
      <c r="I10" s="9" t="s">
        <v>427</v>
      </c>
      <c r="J10" s="9" t="s">
        <v>428</v>
      </c>
      <c r="K10" s="9" t="s">
        <v>429</v>
      </c>
      <c r="L10" s="9" t="s">
        <v>430</v>
      </c>
      <c r="M10" s="9" t="s">
        <v>431</v>
      </c>
    </row>
    <row r="11" customFormat="false" ht="23.85" hidden="false" customHeight="false" outlineLevel="0" collapsed="false">
      <c r="A11" s="10" t="s">
        <v>49</v>
      </c>
      <c r="B11" s="11" t="s">
        <v>432</v>
      </c>
      <c r="C11" s="11" t="s">
        <v>433</v>
      </c>
      <c r="D11" s="11" t="s">
        <v>382</v>
      </c>
      <c r="E11" s="11" t="s">
        <v>403</v>
      </c>
      <c r="F11" s="11" t="s">
        <v>434</v>
      </c>
      <c r="G11" s="11" t="s">
        <v>435</v>
      </c>
      <c r="H11" s="11" t="s">
        <v>426</v>
      </c>
      <c r="I11" s="11" t="s">
        <v>436</v>
      </c>
      <c r="J11" s="11" t="s">
        <v>437</v>
      </c>
      <c r="K11" s="11" t="s">
        <v>438</v>
      </c>
      <c r="L11" s="11" t="s">
        <v>21</v>
      </c>
      <c r="M11" s="11" t="s">
        <v>439</v>
      </c>
    </row>
    <row r="12" customFormat="false" ht="35.05" hidden="false" customHeight="false" outlineLevel="0" collapsed="false">
      <c r="A12" s="8" t="s">
        <v>440</v>
      </c>
      <c r="B12" s="9" t="s">
        <v>441</v>
      </c>
      <c r="C12" s="9" t="s">
        <v>442</v>
      </c>
      <c r="D12" s="9" t="s">
        <v>405</v>
      </c>
      <c r="E12" s="9" t="s">
        <v>443</v>
      </c>
      <c r="F12" s="9" t="s">
        <v>444</v>
      </c>
      <c r="G12" s="9" t="s">
        <v>123</v>
      </c>
      <c r="H12" s="9" t="s">
        <v>426</v>
      </c>
      <c r="I12" s="9" t="s">
        <v>445</v>
      </c>
      <c r="J12" s="9" t="s">
        <v>446</v>
      </c>
      <c r="K12" s="9" t="s">
        <v>447</v>
      </c>
      <c r="L12" s="9" t="s">
        <v>448</v>
      </c>
      <c r="M12" s="9" t="s">
        <v>449</v>
      </c>
    </row>
    <row r="13" customFormat="false" ht="23.85" hidden="false" customHeight="false" outlineLevel="0" collapsed="false">
      <c r="A13" s="10" t="s">
        <v>450</v>
      </c>
      <c r="B13" s="11" t="s">
        <v>451</v>
      </c>
      <c r="C13" s="11" t="s">
        <v>442</v>
      </c>
      <c r="D13" s="11" t="s">
        <v>452</v>
      </c>
      <c r="E13" s="11" t="s">
        <v>123</v>
      </c>
      <c r="F13" s="11" t="s">
        <v>444</v>
      </c>
      <c r="G13" s="11" t="s">
        <v>123</v>
      </c>
      <c r="H13" s="11" t="s">
        <v>385</v>
      </c>
      <c r="I13" s="11" t="s">
        <v>453</v>
      </c>
      <c r="J13" s="11" t="s">
        <v>137</v>
      </c>
      <c r="K13" s="11" t="s">
        <v>454</v>
      </c>
      <c r="L13" s="11" t="s">
        <v>21</v>
      </c>
      <c r="M13" s="11" t="s">
        <v>455</v>
      </c>
    </row>
    <row r="14" customFormat="false" ht="35.05" hidden="false" customHeight="false" outlineLevel="0" collapsed="false">
      <c r="A14" s="8" t="s">
        <v>456</v>
      </c>
      <c r="B14" s="9" t="s">
        <v>457</v>
      </c>
      <c r="C14" s="9" t="s">
        <v>458</v>
      </c>
      <c r="D14" s="9" t="s">
        <v>459</v>
      </c>
      <c r="E14" s="9" t="s">
        <v>458</v>
      </c>
      <c r="F14" s="9" t="s">
        <v>460</v>
      </c>
      <c r="G14" s="9" t="s">
        <v>404</v>
      </c>
      <c r="H14" s="9" t="s">
        <v>385</v>
      </c>
      <c r="I14" s="9" t="s">
        <v>461</v>
      </c>
      <c r="J14" s="9" t="s">
        <v>462</v>
      </c>
      <c r="K14" s="9" t="s">
        <v>463</v>
      </c>
      <c r="L14" s="9" t="s">
        <v>399</v>
      </c>
      <c r="M14" s="9" t="s">
        <v>464</v>
      </c>
    </row>
    <row r="15" customFormat="false" ht="23.85" hidden="false" customHeight="false" outlineLevel="0" collapsed="false">
      <c r="A15" s="10" t="s">
        <v>465</v>
      </c>
      <c r="B15" s="11" t="s">
        <v>421</v>
      </c>
      <c r="C15" s="11" t="s">
        <v>466</v>
      </c>
      <c r="D15" s="11" t="s">
        <v>433</v>
      </c>
      <c r="E15" s="11" t="s">
        <v>467</v>
      </c>
      <c r="F15" s="11" t="s">
        <v>468</v>
      </c>
      <c r="G15" s="11" t="s">
        <v>459</v>
      </c>
      <c r="H15" s="11" t="s">
        <v>385</v>
      </c>
      <c r="I15" s="11" t="s">
        <v>453</v>
      </c>
      <c r="J15" s="11" t="s">
        <v>83</v>
      </c>
      <c r="K15" s="11" t="s">
        <v>469</v>
      </c>
      <c r="L15" s="11" t="s">
        <v>21</v>
      </c>
      <c r="M15" s="11" t="s">
        <v>470</v>
      </c>
    </row>
    <row r="17" customFormat="false" ht="15" hidden="false" customHeight="false" outlineLevel="0" collapsed="false">
      <c r="A17" s="5" t="s">
        <v>471</v>
      </c>
    </row>
    <row r="18" customFormat="false" ht="15" hidden="false" customHeight="false" outlineLevel="0" collapsed="false">
      <c r="A18" s="4" t="s">
        <v>472</v>
      </c>
    </row>
    <row r="19" customFormat="false" ht="15" hidden="false" customHeight="false" outlineLevel="0" collapsed="false">
      <c r="A19" s="4" t="s">
        <v>473</v>
      </c>
    </row>
    <row r="20" customFormat="false" ht="15" hidden="false" customHeight="false" outlineLevel="0" collapsed="false">
      <c r="A20" s="4" t="s">
        <v>474</v>
      </c>
    </row>
    <row r="21" customFormat="false" ht="15" hidden="false" customHeight="false" outlineLevel="0" collapsed="false">
      <c r="A21" s="4" t="s">
        <v>475</v>
      </c>
    </row>
    <row r="22" customFormat="false" ht="15" hidden="false" customHeight="false" outlineLevel="0" collapsed="false">
      <c r="A22" s="4" t="s">
        <v>476</v>
      </c>
    </row>
    <row r="23" customFormat="false" ht="15" hidden="false" customHeight="false" outlineLevel="0" collapsed="false">
      <c r="A23" s="4" t="s">
        <v>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478</v>
      </c>
    </row>
    <row r="2" customFormat="false" ht="15" hidden="false" customHeight="false" outlineLevel="0" collapsed="false">
      <c r="A2" s="3" t="s">
        <v>479</v>
      </c>
    </row>
    <row r="4" customFormat="false" ht="15" hidden="false" customHeight="false" outlineLevel="0" collapsed="false">
      <c r="A4" s="12" t="s">
        <v>480</v>
      </c>
      <c r="B4" s="13"/>
      <c r="C4" s="13"/>
    </row>
    <row r="5" customFormat="false" ht="15" hidden="false" customHeight="false" outlineLevel="0" collapsed="false">
      <c r="A5" s="4" t="s">
        <v>481</v>
      </c>
      <c r="B5" s="14" t="n">
        <v>25</v>
      </c>
      <c r="C5" s="15" t="s">
        <v>482</v>
      </c>
    </row>
    <row r="6" customFormat="false" ht="22.35" hidden="false" customHeight="false" outlineLevel="0" collapsed="false">
      <c r="A6" s="4" t="s">
        <v>483</v>
      </c>
      <c r="B6" s="14" t="n">
        <v>3000</v>
      </c>
      <c r="C6" s="15" t="s">
        <v>484</v>
      </c>
    </row>
    <row r="7" customFormat="false" ht="15" hidden="false" customHeight="false" outlineLevel="0" collapsed="false">
      <c r="A7" s="4" t="s">
        <v>485</v>
      </c>
      <c r="B7" s="16" t="n">
        <f aca="false">B5*B6</f>
        <v>75000</v>
      </c>
    </row>
    <row r="8" customFormat="false" ht="15" hidden="false" customHeight="false" outlineLevel="0" collapsed="false">
      <c r="A8" s="4" t="s">
        <v>486</v>
      </c>
      <c r="B8" s="14" t="n">
        <v>40000</v>
      </c>
      <c r="C8" s="15" t="s">
        <v>487</v>
      </c>
    </row>
    <row r="9" customFormat="false" ht="15" hidden="false" customHeight="false" outlineLevel="0" collapsed="false">
      <c r="A9" s="4" t="s">
        <v>488</v>
      </c>
      <c r="B9" s="14" t="n">
        <v>60000</v>
      </c>
      <c r="C9" s="15" t="s">
        <v>489</v>
      </c>
    </row>
    <row r="10" customFormat="false" ht="15" hidden="false" customHeight="false" outlineLevel="0" collapsed="false">
      <c r="A10" s="4" t="s">
        <v>490</v>
      </c>
      <c r="B10" s="17" t="n">
        <v>0.1</v>
      </c>
    </row>
    <row r="11" customFormat="false" ht="15" hidden="false" customHeight="false" outlineLevel="0" collapsed="false">
      <c r="A11" s="6" t="s">
        <v>491</v>
      </c>
      <c r="B11" s="18" t="n">
        <f aca="false">(B7+B8+B9)*(1+B10)</f>
        <v>192500</v>
      </c>
    </row>
    <row r="13" customFormat="false" ht="15" hidden="false" customHeight="false" outlineLevel="0" collapsed="false">
      <c r="A13" s="12" t="s">
        <v>492</v>
      </c>
      <c r="B13" s="13"/>
      <c r="C13" s="13"/>
    </row>
    <row r="14" customFormat="false" ht="15" hidden="false" customHeight="false" outlineLevel="0" collapsed="false">
      <c r="A14" s="4" t="s">
        <v>493</v>
      </c>
      <c r="B14" s="17" t="n">
        <v>0.5</v>
      </c>
      <c r="C14" s="15" t="s">
        <v>494</v>
      </c>
    </row>
    <row r="15" customFormat="false" ht="22.35" hidden="false" customHeight="false" outlineLevel="0" collapsed="false">
      <c r="A15" s="4" t="s">
        <v>495</v>
      </c>
      <c r="B15" s="19" t="n">
        <v>4</v>
      </c>
      <c r="C15" s="15" t="s">
        <v>496</v>
      </c>
    </row>
    <row r="16" customFormat="false" ht="15" hidden="false" customHeight="false" outlineLevel="0" collapsed="false">
      <c r="A16" s="4" t="s">
        <v>497</v>
      </c>
      <c r="B16" s="14" t="n">
        <v>20</v>
      </c>
      <c r="C16" s="15" t="s">
        <v>498</v>
      </c>
    </row>
    <row r="17" customFormat="false" ht="15" hidden="false" customHeight="false" outlineLevel="0" collapsed="false">
      <c r="A17" s="4" t="s">
        <v>499</v>
      </c>
      <c r="B17" s="14" t="n">
        <v>20</v>
      </c>
      <c r="C17" s="15" t="s">
        <v>500</v>
      </c>
    </row>
    <row r="18" customFormat="false" ht="15" hidden="false" customHeight="false" outlineLevel="0" collapsed="false">
      <c r="A18" s="4" t="s">
        <v>501</v>
      </c>
      <c r="B18" s="20" t="n">
        <v>2</v>
      </c>
      <c r="C18" s="15" t="s">
        <v>502</v>
      </c>
    </row>
    <row r="19" customFormat="false" ht="15" hidden="false" customHeight="false" outlineLevel="0" collapsed="false">
      <c r="A19" s="4" t="s">
        <v>503</v>
      </c>
      <c r="B19" s="20" t="n">
        <v>1</v>
      </c>
    </row>
    <row r="20" customFormat="false" ht="15" hidden="false" customHeight="false" outlineLevel="0" collapsed="false">
      <c r="A20" s="4" t="s">
        <v>504</v>
      </c>
      <c r="B20" s="14" t="n">
        <v>35000</v>
      </c>
      <c r="C20" s="15" t="s">
        <v>505</v>
      </c>
    </row>
    <row r="21" customFormat="false" ht="15" hidden="false" customHeight="false" outlineLevel="0" collapsed="false">
      <c r="A21" s="4" t="s">
        <v>506</v>
      </c>
      <c r="B21" s="14" t="n">
        <v>55000</v>
      </c>
    </row>
    <row r="22" customFormat="false" ht="15" hidden="false" customHeight="false" outlineLevel="0" collapsed="false">
      <c r="A22" s="4" t="s">
        <v>507</v>
      </c>
      <c r="B22" s="21" t="n">
        <v>0.35</v>
      </c>
    </row>
    <row r="23" customFormat="false" ht="15" hidden="false" customHeight="false" outlineLevel="0" collapsed="false">
      <c r="A23" s="4" t="s">
        <v>508</v>
      </c>
      <c r="B23" s="21" t="n">
        <v>0.18</v>
      </c>
      <c r="C23" s="15" t="s">
        <v>509</v>
      </c>
    </row>
    <row r="24" customFormat="false" ht="15" hidden="false" customHeight="false" outlineLevel="0" collapsed="false">
      <c r="A24" s="4" t="s">
        <v>510</v>
      </c>
      <c r="B24" s="14" t="n">
        <v>20000</v>
      </c>
      <c r="C24" s="15" t="s">
        <v>511</v>
      </c>
    </row>
    <row r="25" customFormat="false" ht="15" hidden="false" customHeight="false" outlineLevel="0" collapsed="false">
      <c r="A25" s="4" t="s">
        <v>512</v>
      </c>
      <c r="B25" s="17" t="n">
        <v>0.03</v>
      </c>
      <c r="C25" s="15" t="s">
        <v>513</v>
      </c>
    </row>
    <row r="26" customFormat="false" ht="15" hidden="false" customHeight="false" outlineLevel="0" collapsed="false">
      <c r="A26" s="4" t="s">
        <v>514</v>
      </c>
      <c r="B26" s="17" t="n">
        <v>0.1</v>
      </c>
      <c r="C26" s="15" t="s">
        <v>515</v>
      </c>
    </row>
    <row r="27" customFormat="false" ht="15" hidden="false" customHeight="false" outlineLevel="0" collapsed="false">
      <c r="A27" s="4" t="s">
        <v>516</v>
      </c>
      <c r="B27" s="14" t="n">
        <v>20000</v>
      </c>
    </row>
    <row r="28" customFormat="false" ht="15" hidden="false" customHeight="false" outlineLevel="0" collapsed="false">
      <c r="A28" s="4" t="s">
        <v>517</v>
      </c>
      <c r="B28" s="17" t="n">
        <v>0.5</v>
      </c>
    </row>
    <row r="30" customFormat="false" ht="15" hidden="false" customHeight="false" outlineLevel="0" collapsed="false">
      <c r="A30" s="12" t="s">
        <v>518</v>
      </c>
      <c r="B30" s="13"/>
      <c r="C30" s="13"/>
    </row>
    <row r="31" customFormat="false" ht="15" hidden="false" customHeight="false" outlineLevel="0" collapsed="false">
      <c r="A31" s="4" t="s">
        <v>519</v>
      </c>
      <c r="B31" s="16" t="n">
        <f aca="false">B5*8760*B14</f>
        <v>109500</v>
      </c>
    </row>
    <row r="32" customFormat="false" ht="15" hidden="false" customHeight="false" outlineLevel="0" collapsed="false">
      <c r="A32" s="6" t="s">
        <v>520</v>
      </c>
      <c r="B32" s="18" t="n">
        <f aca="false">B31*B15</f>
        <v>438000</v>
      </c>
    </row>
    <row r="33" customFormat="false" ht="15" hidden="false" customHeight="false" outlineLevel="0" collapsed="false">
      <c r="A33" s="4" t="s">
        <v>521</v>
      </c>
      <c r="B33" s="16" t="n">
        <f aca="false">B31*B16*B17/1000</f>
        <v>43800</v>
      </c>
    </row>
    <row r="34" customFormat="false" ht="15" hidden="false" customHeight="false" outlineLevel="0" collapsed="false">
      <c r="A34" s="4" t="s">
        <v>522</v>
      </c>
      <c r="B34" s="16" t="n">
        <f aca="false">B18*B20+B19*B21</f>
        <v>125000</v>
      </c>
    </row>
    <row r="35" customFormat="false" ht="15" hidden="false" customHeight="false" outlineLevel="0" collapsed="false">
      <c r="A35" s="4" t="s">
        <v>523</v>
      </c>
      <c r="B35" s="16" t="n">
        <f aca="false">B31*B22*B23</f>
        <v>6898.5</v>
      </c>
    </row>
    <row r="36" customFormat="false" ht="15" hidden="false" customHeight="false" outlineLevel="0" collapsed="false">
      <c r="A36" s="4" t="s">
        <v>524</v>
      </c>
      <c r="B36" s="16" t="n">
        <f aca="false">B24</f>
        <v>20000</v>
      </c>
    </row>
    <row r="37" customFormat="false" ht="15" hidden="false" customHeight="false" outlineLevel="0" collapsed="false">
      <c r="A37" s="4" t="s">
        <v>525</v>
      </c>
      <c r="B37" s="16" t="n">
        <f aca="false">B32*B25</f>
        <v>13140</v>
      </c>
    </row>
    <row r="38" customFormat="false" ht="15" hidden="false" customHeight="false" outlineLevel="0" collapsed="false">
      <c r="A38" s="4" t="s">
        <v>526</v>
      </c>
      <c r="B38" s="16" t="n">
        <f aca="false">B32*B26</f>
        <v>43800</v>
      </c>
    </row>
    <row r="39" customFormat="false" ht="15" hidden="false" customHeight="false" outlineLevel="0" collapsed="false">
      <c r="A39" s="4" t="s">
        <v>527</v>
      </c>
      <c r="B39" s="16" t="n">
        <f aca="false">B27</f>
        <v>20000</v>
      </c>
    </row>
    <row r="40" customFormat="false" ht="15" hidden="false" customHeight="false" outlineLevel="0" collapsed="false">
      <c r="A40" s="4" t="s">
        <v>528</v>
      </c>
      <c r="B40" s="16" t="n">
        <f aca="false">SUM(B33:B39)</f>
        <v>272638.5</v>
      </c>
    </row>
    <row r="41" customFormat="false" ht="15" hidden="false" customHeight="false" outlineLevel="0" collapsed="false">
      <c r="A41" s="6" t="s">
        <v>529</v>
      </c>
      <c r="B41" s="18" t="n">
        <f aca="false">B32-B40</f>
        <v>165361.5</v>
      </c>
    </row>
    <row r="42" customFormat="false" ht="15" hidden="false" customHeight="false" outlineLevel="0" collapsed="false">
      <c r="A42" s="6" t="s">
        <v>530</v>
      </c>
      <c r="B42" s="22" t="n">
        <f aca="false">IFERROR(B41/B32,0)</f>
        <v>0.377537671232877</v>
      </c>
      <c r="C42" s="15" t="s">
        <v>531</v>
      </c>
    </row>
    <row r="44" customFormat="false" ht="15" hidden="false" customHeight="false" outlineLevel="0" collapsed="false">
      <c r="A44" s="12" t="s">
        <v>532</v>
      </c>
      <c r="B44" s="13"/>
      <c r="C44" s="13"/>
    </row>
    <row r="45" customFormat="false" ht="15" hidden="false" customHeight="false" outlineLevel="0" collapsed="false">
      <c r="A45" s="4" t="s">
        <v>533</v>
      </c>
      <c r="B45" s="16" t="n">
        <f aca="false">B32*B28</f>
        <v>219000</v>
      </c>
    </row>
    <row r="46" customFormat="false" ht="15" hidden="false" customHeight="false" outlineLevel="0" collapsed="false">
      <c r="A46" s="4" t="s">
        <v>534</v>
      </c>
      <c r="B46" s="16" t="n">
        <f aca="false">B45-(B33+B35+B37+B38)*B28-(B34+B36+B39)</f>
        <v>180.75</v>
      </c>
      <c r="C46" s="15" t="s">
        <v>535</v>
      </c>
    </row>
    <row r="47" customFormat="false" ht="15" hidden="false" customHeight="false" outlineLevel="0" collapsed="false">
      <c r="A47" s="6" t="s">
        <v>536</v>
      </c>
      <c r="B47" s="23" t="n">
        <f aca="false">IFERROR(B11/B41,0)</f>
        <v>1.16411619391455</v>
      </c>
    </row>
    <row r="48" customFormat="false" ht="15" hidden="false" customHeight="false" outlineLevel="0" collapsed="false">
      <c r="A48" s="6" t="s">
        <v>537</v>
      </c>
      <c r="B48" s="23" t="n">
        <f aca="false">IFERROR(1+MAX(0,B11-B46)/B41,0)</f>
        <v>2.16302313416364</v>
      </c>
      <c r="C48" s="15" t="s">
        <v>538</v>
      </c>
    </row>
    <row r="49" customFormat="false" ht="15" hidden="false" customHeight="false" outlineLevel="0" collapsed="false">
      <c r="A49" s="4" t="s">
        <v>539</v>
      </c>
      <c r="B49" s="24" t="n">
        <f aca="false">IFERROR(B32/B11,0)</f>
        <v>2.27532467532468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540</v>
      </c>
    </row>
    <row r="2" customFormat="false" ht="15" hidden="false" customHeight="false" outlineLevel="0" collapsed="false">
      <c r="A2" s="3" t="s">
        <v>541</v>
      </c>
    </row>
    <row r="4" customFormat="false" ht="15" hidden="false" customHeight="false" outlineLevel="0" collapsed="false">
      <c r="A4" s="12" t="s">
        <v>480</v>
      </c>
      <c r="B4" s="13"/>
      <c r="C4" s="13"/>
    </row>
    <row r="5" customFormat="false" ht="22.35" hidden="false" customHeight="false" outlineLevel="0" collapsed="false">
      <c r="A5" s="4" t="s">
        <v>542</v>
      </c>
      <c r="B5" s="14" t="n">
        <v>500000</v>
      </c>
      <c r="C5" s="15" t="s">
        <v>543</v>
      </c>
    </row>
    <row r="6" customFormat="false" ht="15" hidden="false" customHeight="false" outlineLevel="0" collapsed="false">
      <c r="A6" s="4" t="s">
        <v>544</v>
      </c>
      <c r="B6" s="14" t="n">
        <v>60000</v>
      </c>
    </row>
    <row r="7" customFormat="false" ht="15" hidden="false" customHeight="false" outlineLevel="0" collapsed="false">
      <c r="A7" s="4" t="s">
        <v>545</v>
      </c>
      <c r="B7" s="14" t="n">
        <v>40000</v>
      </c>
    </row>
    <row r="8" customFormat="false" ht="15" hidden="false" customHeight="false" outlineLevel="0" collapsed="false">
      <c r="A8" s="4" t="s">
        <v>490</v>
      </c>
      <c r="B8" s="17" t="n">
        <v>0.1</v>
      </c>
    </row>
    <row r="9" customFormat="false" ht="15" hidden="false" customHeight="false" outlineLevel="0" collapsed="false">
      <c r="A9" s="6" t="s">
        <v>491</v>
      </c>
      <c r="B9" s="18" t="n">
        <f aca="false">(B5+B6+B7)*(1+B8)</f>
        <v>660000</v>
      </c>
    </row>
    <row r="11" customFormat="false" ht="15" hidden="false" customHeight="false" outlineLevel="0" collapsed="false">
      <c r="A11" s="12" t="s">
        <v>492</v>
      </c>
      <c r="B11" s="13"/>
      <c r="C11" s="13"/>
    </row>
    <row r="12" customFormat="false" ht="15" hidden="false" customHeight="false" outlineLevel="0" collapsed="false">
      <c r="A12" s="4" t="s">
        <v>546</v>
      </c>
      <c r="B12" s="14" t="n">
        <v>41</v>
      </c>
      <c r="C12" s="15" t="s">
        <v>547</v>
      </c>
    </row>
    <row r="13" customFormat="false" ht="15" hidden="false" customHeight="false" outlineLevel="0" collapsed="false">
      <c r="A13" s="4" t="s">
        <v>548</v>
      </c>
      <c r="B13" s="17" t="n">
        <v>0.11</v>
      </c>
      <c r="C13" s="15" t="s">
        <v>549</v>
      </c>
    </row>
    <row r="14" customFormat="false" ht="15" hidden="false" customHeight="false" outlineLevel="0" collapsed="false">
      <c r="A14" s="4" t="s">
        <v>550</v>
      </c>
      <c r="B14" s="14" t="n">
        <v>6</v>
      </c>
      <c r="C14" s="15" t="s">
        <v>551</v>
      </c>
    </row>
    <row r="15" customFormat="false" ht="15" hidden="false" customHeight="false" outlineLevel="0" collapsed="false">
      <c r="A15" s="4" t="s">
        <v>552</v>
      </c>
      <c r="B15" s="14" t="n">
        <v>50</v>
      </c>
    </row>
    <row r="16" customFormat="false" ht="22.35" hidden="false" customHeight="false" outlineLevel="0" collapsed="false">
      <c r="A16" s="4" t="s">
        <v>553</v>
      </c>
      <c r="B16" s="21" t="n">
        <v>0.4</v>
      </c>
      <c r="C16" s="15" t="s">
        <v>554</v>
      </c>
    </row>
    <row r="17" customFormat="false" ht="15" hidden="false" customHeight="false" outlineLevel="0" collapsed="false">
      <c r="A17" s="4" t="s">
        <v>555</v>
      </c>
      <c r="B17" s="14" t="n">
        <v>55</v>
      </c>
    </row>
    <row r="18" customFormat="false" ht="15" hidden="false" customHeight="false" outlineLevel="0" collapsed="false">
      <c r="A18" s="4" t="s">
        <v>556</v>
      </c>
      <c r="B18" s="20" t="n">
        <v>1.5</v>
      </c>
      <c r="C18" s="15" t="s">
        <v>557</v>
      </c>
    </row>
    <row r="19" customFormat="false" ht="15" hidden="false" customHeight="false" outlineLevel="0" collapsed="false">
      <c r="A19" s="4" t="s">
        <v>558</v>
      </c>
      <c r="B19" s="21" t="n">
        <v>1.01</v>
      </c>
      <c r="C19" s="15" t="s">
        <v>559</v>
      </c>
    </row>
    <row r="20" customFormat="false" ht="15" hidden="false" customHeight="false" outlineLevel="0" collapsed="false">
      <c r="A20" s="4" t="s">
        <v>560</v>
      </c>
      <c r="B20" s="21" t="n">
        <v>0.03</v>
      </c>
    </row>
    <row r="21" customFormat="false" ht="15" hidden="false" customHeight="false" outlineLevel="0" collapsed="false">
      <c r="A21" s="4" t="s">
        <v>501</v>
      </c>
      <c r="B21" s="20" t="n">
        <v>1.5</v>
      </c>
    </row>
    <row r="22" customFormat="false" ht="15" hidden="false" customHeight="false" outlineLevel="0" collapsed="false">
      <c r="A22" s="4" t="s">
        <v>561</v>
      </c>
      <c r="B22" s="14" t="n">
        <v>40000</v>
      </c>
    </row>
    <row r="23" customFormat="false" ht="15" hidden="false" customHeight="false" outlineLevel="0" collapsed="false">
      <c r="A23" s="4" t="s">
        <v>562</v>
      </c>
      <c r="B23" s="14" t="n">
        <v>12000</v>
      </c>
      <c r="C23" s="15" t="s">
        <v>563</v>
      </c>
    </row>
    <row r="24" customFormat="false" ht="15" hidden="false" customHeight="false" outlineLevel="0" collapsed="false">
      <c r="A24" s="4" t="s">
        <v>510</v>
      </c>
      <c r="B24" s="14" t="n">
        <v>12000</v>
      </c>
    </row>
    <row r="25" customFormat="false" ht="15" hidden="false" customHeight="false" outlineLevel="0" collapsed="false">
      <c r="A25" s="4" t="s">
        <v>564</v>
      </c>
      <c r="B25" s="17" t="n">
        <v>0.03</v>
      </c>
    </row>
    <row r="26" customFormat="false" ht="15" hidden="false" customHeight="false" outlineLevel="0" collapsed="false">
      <c r="A26" s="4" t="s">
        <v>514</v>
      </c>
      <c r="B26" s="17" t="n">
        <v>0.1</v>
      </c>
    </row>
    <row r="27" customFormat="false" ht="15" hidden="false" customHeight="false" outlineLevel="0" collapsed="false">
      <c r="A27" s="4" t="s">
        <v>565</v>
      </c>
      <c r="B27" s="14" t="n">
        <v>15000</v>
      </c>
    </row>
    <row r="28" customFormat="false" ht="15" hidden="false" customHeight="false" outlineLevel="0" collapsed="false">
      <c r="A28" s="4" t="s">
        <v>566</v>
      </c>
      <c r="B28" s="17" t="n">
        <v>0.5</v>
      </c>
    </row>
    <row r="30" customFormat="false" ht="15" hidden="false" customHeight="false" outlineLevel="0" collapsed="false">
      <c r="A30" s="12" t="s">
        <v>518</v>
      </c>
      <c r="B30" s="13"/>
      <c r="C30" s="13"/>
    </row>
    <row r="31" customFormat="false" ht="15" hidden="false" customHeight="false" outlineLevel="0" collapsed="false">
      <c r="A31" s="4" t="s">
        <v>567</v>
      </c>
      <c r="B31" s="16" t="n">
        <f aca="false">B12*1000*B13*B14*B15</f>
        <v>1353000</v>
      </c>
    </row>
    <row r="32" customFormat="false" ht="15" hidden="false" customHeight="false" outlineLevel="0" collapsed="false">
      <c r="A32" s="6" t="s">
        <v>520</v>
      </c>
      <c r="B32" s="18" t="n">
        <f aca="false">B31*B16</f>
        <v>541200</v>
      </c>
    </row>
    <row r="33" customFormat="false" ht="15" hidden="false" customHeight="false" outlineLevel="0" collapsed="false">
      <c r="A33" s="4" t="s">
        <v>568</v>
      </c>
      <c r="B33" s="16" t="n">
        <f aca="false">B31*B19/1000*B17*B18</f>
        <v>112738.725</v>
      </c>
    </row>
    <row r="34" customFormat="false" ht="15" hidden="false" customHeight="false" outlineLevel="0" collapsed="false">
      <c r="A34" s="4" t="s">
        <v>569</v>
      </c>
      <c r="B34" s="16" t="n">
        <f aca="false">B31*B20</f>
        <v>40590</v>
      </c>
    </row>
    <row r="35" customFormat="false" ht="15" hidden="false" customHeight="false" outlineLevel="0" collapsed="false">
      <c r="A35" s="4" t="s">
        <v>522</v>
      </c>
      <c r="B35" s="16" t="n">
        <f aca="false">B21*B22</f>
        <v>60000</v>
      </c>
    </row>
    <row r="36" customFormat="false" ht="15" hidden="false" customHeight="false" outlineLevel="0" collapsed="false">
      <c r="A36" s="4" t="s">
        <v>523</v>
      </c>
      <c r="B36" s="16" t="n">
        <f aca="false">B23</f>
        <v>12000</v>
      </c>
    </row>
    <row r="37" customFormat="false" ht="15" hidden="false" customHeight="false" outlineLevel="0" collapsed="false">
      <c r="A37" s="4" t="s">
        <v>524</v>
      </c>
      <c r="B37" s="16" t="n">
        <f aca="false">B24</f>
        <v>12000</v>
      </c>
    </row>
    <row r="38" customFormat="false" ht="15" hidden="false" customHeight="false" outlineLevel="0" collapsed="false">
      <c r="A38" s="4" t="s">
        <v>525</v>
      </c>
      <c r="B38" s="16" t="n">
        <f aca="false">B32*B25</f>
        <v>16236</v>
      </c>
    </row>
    <row r="39" customFormat="false" ht="15" hidden="false" customHeight="false" outlineLevel="0" collapsed="false">
      <c r="A39" s="4" t="s">
        <v>526</v>
      </c>
      <c r="B39" s="16" t="n">
        <f aca="false">B32*B26</f>
        <v>54120</v>
      </c>
    </row>
    <row r="40" customFormat="false" ht="15" hidden="false" customHeight="false" outlineLevel="0" collapsed="false">
      <c r="A40" s="4" t="s">
        <v>527</v>
      </c>
      <c r="B40" s="16" t="n">
        <f aca="false">B27</f>
        <v>15000</v>
      </c>
    </row>
    <row r="41" customFormat="false" ht="15" hidden="false" customHeight="false" outlineLevel="0" collapsed="false">
      <c r="A41" s="4" t="s">
        <v>528</v>
      </c>
      <c r="B41" s="16" t="n">
        <f aca="false">SUM(B33:B40)</f>
        <v>322684.725</v>
      </c>
    </row>
    <row r="42" customFormat="false" ht="15" hidden="false" customHeight="false" outlineLevel="0" collapsed="false">
      <c r="A42" s="6" t="s">
        <v>529</v>
      </c>
      <c r="B42" s="18" t="n">
        <f aca="false">B32-B41</f>
        <v>218515.275</v>
      </c>
    </row>
    <row r="43" customFormat="false" ht="15" hidden="false" customHeight="false" outlineLevel="0" collapsed="false">
      <c r="A43" s="6" t="s">
        <v>530</v>
      </c>
      <c r="B43" s="22" t="n">
        <f aca="false">IFERROR(B42/B32,0)</f>
        <v>0.403760670731707</v>
      </c>
    </row>
    <row r="45" customFormat="false" ht="15" hidden="false" customHeight="false" outlineLevel="0" collapsed="false">
      <c r="A45" s="12" t="s">
        <v>570</v>
      </c>
      <c r="B45" s="13"/>
      <c r="C45" s="13"/>
    </row>
    <row r="46" customFormat="false" ht="15" hidden="false" customHeight="false" outlineLevel="0" collapsed="false">
      <c r="A46" s="4" t="s">
        <v>533</v>
      </c>
      <c r="B46" s="16" t="n">
        <f aca="false">B32*B28</f>
        <v>270600</v>
      </c>
    </row>
    <row r="47" customFormat="false" ht="15" hidden="false" customHeight="false" outlineLevel="0" collapsed="false">
      <c r="A47" s="4" t="s">
        <v>534</v>
      </c>
      <c r="B47" s="16" t="n">
        <f aca="false">B46-(B33+B34+B38+B39)*B28-(B35+B36+B37+B40)</f>
        <v>59757.6375</v>
      </c>
    </row>
    <row r="48" customFormat="false" ht="15" hidden="false" customHeight="false" outlineLevel="0" collapsed="false">
      <c r="A48" s="6" t="s">
        <v>536</v>
      </c>
      <c r="B48" s="23" t="n">
        <f aca="false">IFERROR(B9/B42,0)</f>
        <v>3.02038381527333</v>
      </c>
    </row>
    <row r="49" customFormat="false" ht="15" hidden="false" customHeight="false" outlineLevel="0" collapsed="false">
      <c r="A49" s="6" t="s">
        <v>537</v>
      </c>
      <c r="B49" s="23" t="n">
        <f aca="false">IFERROR(1+MAX(0,B9-B47)/B42,0)</f>
        <v>3.74691260141883</v>
      </c>
    </row>
    <row r="50" customFormat="false" ht="15" hidden="false" customHeight="false" outlineLevel="0" collapsed="false">
      <c r="A50" s="4" t="s">
        <v>571</v>
      </c>
      <c r="B50" s="25" t="n">
        <f aca="false">20*B16</f>
        <v>8</v>
      </c>
      <c r="C50" s="15" t="s">
        <v>572</v>
      </c>
    </row>
    <row r="51" customFormat="false" ht="15" hidden="false" customHeight="false" outlineLevel="0" collapsed="false">
      <c r="A51" s="3" t="s">
        <v>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0"/>
  </cols>
  <sheetData>
    <row r="1" customFormat="false" ht="17.35" hidden="false" customHeight="false" outlineLevel="0" collapsed="false">
      <c r="A1" s="1" t="s">
        <v>574</v>
      </c>
    </row>
    <row r="2" customFormat="false" ht="15" hidden="false" customHeight="false" outlineLevel="0" collapsed="false">
      <c r="A2" s="3" t="s">
        <v>575</v>
      </c>
    </row>
    <row r="4" customFormat="false" ht="23.85" hidden="false" customHeight="false" outlineLevel="0" collapsed="false">
      <c r="A4" s="7" t="s">
        <v>576</v>
      </c>
      <c r="B4" s="7" t="s">
        <v>577</v>
      </c>
      <c r="C4" s="7" t="s">
        <v>578</v>
      </c>
    </row>
    <row r="5" customFormat="false" ht="15" hidden="false" customHeight="false" outlineLevel="0" collapsed="false">
      <c r="A5" s="6" t="s">
        <v>491</v>
      </c>
      <c r="B5" s="26" t="n">
        <f aca="false">'Model A FDM Farm'!B11</f>
        <v>192500</v>
      </c>
      <c r="C5" s="26" t="n">
        <f aca="false">'Model B MJF Cell'!B9</f>
        <v>660000</v>
      </c>
    </row>
    <row r="6" customFormat="false" ht="15" hidden="false" customHeight="false" outlineLevel="0" collapsed="false">
      <c r="A6" s="6" t="s">
        <v>579</v>
      </c>
      <c r="B6" s="26" t="n">
        <f aca="false">'Model A FDM Farm'!B32</f>
        <v>438000</v>
      </c>
      <c r="C6" s="26" t="n">
        <f aca="false">'Model B MJF Cell'!B32</f>
        <v>541200</v>
      </c>
    </row>
    <row r="7" customFormat="false" ht="15" hidden="false" customHeight="false" outlineLevel="0" collapsed="false">
      <c r="A7" s="6" t="s">
        <v>580</v>
      </c>
      <c r="B7" s="26" t="n">
        <f aca="false">'Model A FDM Farm'!B41</f>
        <v>165361.5</v>
      </c>
      <c r="C7" s="26" t="n">
        <f aca="false">'Model B MJF Cell'!B42</f>
        <v>218515.275</v>
      </c>
    </row>
    <row r="8" customFormat="false" ht="15" hidden="false" customHeight="false" outlineLevel="0" collapsed="false">
      <c r="A8" s="6" t="s">
        <v>530</v>
      </c>
      <c r="B8" s="27" t="n">
        <f aca="false">'Model A FDM Farm'!B42</f>
        <v>0.377537671232877</v>
      </c>
      <c r="C8" s="27" t="n">
        <f aca="false">'Model B MJF Cell'!B43</f>
        <v>0.403760670731707</v>
      </c>
    </row>
    <row r="9" customFormat="false" ht="15" hidden="false" customHeight="false" outlineLevel="0" collapsed="false">
      <c r="A9" s="6" t="s">
        <v>537</v>
      </c>
      <c r="B9" s="28" t="n">
        <f aca="false">'Model A FDM Farm'!B48</f>
        <v>2.16302313416364</v>
      </c>
      <c r="C9" s="28" t="n">
        <f aca="false">'Model B MJF Cell'!B49</f>
        <v>3.74691260141883</v>
      </c>
    </row>
    <row r="10" customFormat="false" ht="15" hidden="false" customHeight="false" outlineLevel="0" collapsed="false">
      <c r="A10" s="6" t="s">
        <v>581</v>
      </c>
      <c r="B10" s="29" t="n">
        <f aca="false">IFERROR('Model A FDM Farm'!B32/'Model A FDM Farm'!B11,0)</f>
        <v>2.27532467532468</v>
      </c>
      <c r="C10" s="29" t="n">
        <f aca="false">IFERROR('Model B MJF Cell'!B32/'Model B MJF Cell'!B9,0)</f>
        <v>0.82</v>
      </c>
    </row>
    <row r="12" customFormat="false" ht="30" hidden="false" customHeight="true" outlineLevel="0" collapsed="false">
      <c r="A12" s="30" t="s">
        <v>582</v>
      </c>
      <c r="B12" s="30"/>
      <c r="C12" s="30"/>
    </row>
    <row r="13" customFormat="false" ht="30" hidden="false" customHeight="true" outlineLevel="0" collapsed="false">
      <c r="A13" s="30" t="s">
        <v>583</v>
      </c>
      <c r="B13" s="30"/>
      <c r="C13" s="30"/>
    </row>
    <row r="14" customFormat="false" ht="30" hidden="false" customHeight="true" outlineLevel="0" collapsed="false">
      <c r="A14" s="30" t="s">
        <v>584</v>
      </c>
      <c r="B14" s="30"/>
      <c r="C14" s="30"/>
    </row>
  </sheetData>
  <mergeCells count="3">
    <mergeCell ref="A12:C12"/>
    <mergeCell ref="A13:C13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2026-07-14T07:52:03Z</dcterms:created>
  <dc:creator>openpyxl</dc:creator>
  <dc:description/>
  <dc:language>en-US</dc:language>
  <cp:lastModifiedBy/>
  <dcterms:modified xsi:type="dcterms:W3CDTF">2026-07-14T07:52:03Z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